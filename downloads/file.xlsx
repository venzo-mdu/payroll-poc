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 Claim" sheetId="1" r:id="rId1"/>
    <sheet name="Cost Break Up new" sheetId="2" r:id="rId2"/>
    <sheet name="Rev Salary" sheetId="3" r:id="rId3"/>
  </sheets>
  <definedNames>
    <definedName name="_xlnm._FilterDatabase" localSheetId="0">'Rev Claim'!A1:P44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(* #,##0.00_);_(* \(#,##0.00\);_(* &quot;-&quot;??_);_(@_)"/>
    <numFmt numFmtId="181" formatCode="dd/mm/yyyy"/>
    <numFmt numFmtId="182" formatCode="0.0"/>
    <numFmt numFmtId="183" formatCode="dd\/mm\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workbookViewId="0"/>
  </sheetViews>
  <sheetData>
    <row r="1">
      <c r="A1" t="str">
        <v>S.No</v>
      </c>
      <c r="B1" t="str">
        <v>E.No</v>
      </c>
      <c r="C1" t="str">
        <v>Name</v>
      </c>
      <c r="D1" t="str">
        <v>DOJ</v>
      </c>
      <c r="E1" t="str">
        <v>Category</v>
      </c>
      <c r="F1" t="str">
        <v>Gross</v>
      </c>
      <c r="G1" t="str">
        <v xml:space="preserve">Rate perday </v>
      </c>
      <c r="H1" t="str">
        <v xml:space="preserve">Mandays </v>
      </c>
      <c r="I1" t="str">
        <v xml:space="preserve">Transport Days </v>
      </c>
      <c r="J1" t="str">
        <v xml:space="preserve">OT Hours </v>
      </c>
      <c r="K1" t="str">
        <v xml:space="preserve">Arrears </v>
      </c>
      <c r="L1" t="str">
        <v>MANDAYS COST</v>
      </c>
      <c r="M1" t="str">
        <v>OT COST</v>
      </c>
      <c r="N1" t="str">
        <v>Transport  Allow</v>
      </c>
      <c r="O1" t="str">
        <v>LWF</v>
      </c>
      <c r="P1" t="str">
        <v>TOTAL COST</v>
      </c>
    </row>
    <row r="2">
      <c r="A2">
        <v>1</v>
      </c>
      <c r="B2">
        <v>907393</v>
      </c>
      <c r="C2" t="str">
        <v>CHANDRAMOHAN</v>
      </c>
      <c r="D2">
        <v>45809</v>
      </c>
      <c r="E2" t="str">
        <v>Casual Labour</v>
      </c>
      <c r="F2">
        <v>17847</v>
      </c>
      <c r="G2">
        <f>F2/26</f>
        <v>686.423076923077</v>
      </c>
      <c r="H2">
        <f>VLOOKUP(B2,'Sep-Attendance'!B2:AK43,36,0)</f>
        <v>32.5</v>
      </c>
      <c r="I2">
        <f>VLOOKUP(B2,'Sep-Attendance'!B2:AL43,37,0)</f>
        <v>24</v>
      </c>
      <c r="J2">
        <v>0</v>
      </c>
      <c r="K2">
        <v>0</v>
      </c>
      <c r="L2">
        <f>ROUND(G2*H2,0)</f>
        <v>22309</v>
      </c>
      <c r="N2">
        <f>ROUND(1000/26*I2,0)</f>
        <v>923</v>
      </c>
      <c r="P2">
        <f>ROUND(SUM(L2:O2),0)</f>
        <v>23232</v>
      </c>
    </row>
    <row r="3">
      <c r="A3">
        <v>2</v>
      </c>
      <c r="B3">
        <v>907394</v>
      </c>
      <c r="C3" t="str">
        <v>K VIJAY KRISHNA KUMAR</v>
      </c>
      <c r="D3">
        <v>45809</v>
      </c>
      <c r="E3" t="str">
        <v>Jr. Supervisor</v>
      </c>
      <c r="F3">
        <v>24204</v>
      </c>
      <c r="G3">
        <f>F3/26</f>
        <v>930.923076923077</v>
      </c>
      <c r="H3">
        <f>VLOOKUP(B3,'Sep-Attendance'!B3:AK44,36,0)</f>
        <v>37.5</v>
      </c>
      <c r="I3">
        <f>VLOOKUP(B3,'Sep-Attendance'!B3:AL44,37,0)</f>
        <v>23</v>
      </c>
      <c r="J3">
        <v>0</v>
      </c>
      <c r="K3">
        <v>0</v>
      </c>
      <c r="L3">
        <f>ROUND(G3*H3,0)</f>
        <v>34910</v>
      </c>
      <c r="N3">
        <f>ROUND(1000/26*I3,0)</f>
        <v>885</v>
      </c>
      <c r="P3">
        <f>ROUND(SUM(L3:O3),0)</f>
        <v>35795</v>
      </c>
    </row>
    <row r="4">
      <c r="A4">
        <v>3</v>
      </c>
      <c r="B4">
        <v>907395</v>
      </c>
      <c r="C4" t="str">
        <v>Himanshu Mallik</v>
      </c>
      <c r="D4">
        <v>45809</v>
      </c>
      <c r="E4" t="str">
        <v>Casual Labour</v>
      </c>
      <c r="F4">
        <v>17847</v>
      </c>
      <c r="G4">
        <f>F4/26</f>
        <v>686.423076923077</v>
      </c>
      <c r="H4">
        <f>VLOOKUP(B4,'Sep-Attendance'!B4:AK45,36,0)</f>
        <v>8.5</v>
      </c>
      <c r="I4">
        <f>VLOOKUP(B4,'Sep-Attendance'!B4:AL45,37,0)</f>
        <v>6</v>
      </c>
      <c r="J4">
        <v>0</v>
      </c>
      <c r="K4">
        <v>0</v>
      </c>
      <c r="L4">
        <f>ROUND(G4*H4,0)</f>
        <v>5835</v>
      </c>
      <c r="N4">
        <f>ROUND(1000/26*I4,0)</f>
        <v>231</v>
      </c>
      <c r="P4">
        <f>ROUND(SUM(L4:O4),0)</f>
        <v>6066</v>
      </c>
    </row>
    <row r="5">
      <c r="A5">
        <v>4</v>
      </c>
      <c r="B5">
        <v>907396</v>
      </c>
      <c r="C5" t="str">
        <v>B Venkataiah Chinnabba</v>
      </c>
      <c r="D5">
        <v>45809</v>
      </c>
      <c r="E5" t="str">
        <v>Tr. Supervisor</v>
      </c>
      <c r="F5">
        <v>20909</v>
      </c>
      <c r="G5">
        <f>F5/26</f>
        <v>804.192307692308</v>
      </c>
      <c r="H5">
        <f>VLOOKUP(B5,'Sep-Attendance'!B5:AK46,36,0)</f>
        <v>26</v>
      </c>
      <c r="I5">
        <f>VLOOKUP(B5,'Sep-Attendance'!B5:AL46,37,0)</f>
        <v>24</v>
      </c>
      <c r="J5">
        <v>0</v>
      </c>
      <c r="K5">
        <v>0</v>
      </c>
      <c r="L5">
        <f>ROUND(G5*H5,0)</f>
        <v>20909</v>
      </c>
      <c r="N5">
        <f>ROUND(1000/26*I5,0)</f>
        <v>923</v>
      </c>
      <c r="P5">
        <f>ROUND(SUM(L5:O5),0)</f>
        <v>21832</v>
      </c>
    </row>
    <row r="6">
      <c r="A6">
        <v>5</v>
      </c>
      <c r="B6">
        <v>907397</v>
      </c>
      <c r="C6" t="str">
        <v>K Dorai</v>
      </c>
      <c r="D6">
        <v>45809</v>
      </c>
      <c r="E6" t="str">
        <v>Casual Labour</v>
      </c>
      <c r="F6">
        <v>17847</v>
      </c>
      <c r="G6">
        <f>F6/26</f>
        <v>686.423076923077</v>
      </c>
      <c r="H6">
        <f>VLOOKUP(B6,'Sep-Attendance'!B6:AK47,36,0)</f>
        <v>34.5</v>
      </c>
      <c r="I6">
        <f>VLOOKUP(B6,'Sep-Attendance'!B6:AL47,37,0)</f>
        <v>24</v>
      </c>
      <c r="J6">
        <v>0</v>
      </c>
      <c r="K6">
        <v>0</v>
      </c>
      <c r="L6">
        <f>ROUND(G6*H6,0)</f>
        <v>23682</v>
      </c>
      <c r="N6">
        <f>ROUND(1000/26*I6,0)</f>
        <v>923</v>
      </c>
      <c r="P6">
        <f>ROUND(SUM(L6:O6),0)</f>
        <v>24605</v>
      </c>
    </row>
    <row r="7">
      <c r="A7">
        <v>6</v>
      </c>
      <c r="B7">
        <v>907398</v>
      </c>
      <c r="C7" t="str">
        <v>Nagan P</v>
      </c>
      <c r="D7">
        <v>45809</v>
      </c>
      <c r="E7" t="str">
        <v>Casual Labour</v>
      </c>
      <c r="F7">
        <v>17847</v>
      </c>
      <c r="G7">
        <f>F7/26</f>
        <v>686.423076923077</v>
      </c>
      <c r="H7">
        <f>VLOOKUP(B7,'Sep-Attendance'!B7:AK48,36,0)</f>
        <v>26.5</v>
      </c>
      <c r="I7">
        <f>VLOOKUP(B7,'Sep-Attendance'!B7:AL48,37,0)</f>
        <v>26</v>
      </c>
      <c r="J7">
        <v>0</v>
      </c>
      <c r="K7">
        <v>0</v>
      </c>
      <c r="L7">
        <f>ROUND(G7*H7,0)</f>
        <v>18190</v>
      </c>
      <c r="N7">
        <f>ROUND(1000/26*I7,0)</f>
        <v>1000</v>
      </c>
      <c r="P7">
        <f>ROUND(SUM(L7:O7),0)</f>
        <v>19190</v>
      </c>
    </row>
    <row r="8">
      <c r="A8">
        <v>7</v>
      </c>
      <c r="B8">
        <v>907399</v>
      </c>
      <c r="C8" t="str">
        <v>G SURESH</v>
      </c>
      <c r="D8">
        <v>45809</v>
      </c>
      <c r="E8" t="str">
        <v>Casual Labour</v>
      </c>
      <c r="F8">
        <v>17847</v>
      </c>
      <c r="G8">
        <f>F8/26</f>
        <v>686.423076923077</v>
      </c>
      <c r="H8">
        <f>VLOOKUP(B8,'Sep-Attendance'!B8:AK49,36,0)</f>
        <v>32.5</v>
      </c>
      <c r="I8">
        <f>VLOOKUP(B8,'Sep-Attendance'!B8:AL49,37,0)</f>
        <v>23</v>
      </c>
      <c r="J8">
        <v>0</v>
      </c>
      <c r="K8">
        <v>0</v>
      </c>
      <c r="L8">
        <f>ROUND(G8*H8,0)</f>
        <v>22309</v>
      </c>
      <c r="N8">
        <f>ROUND(1000/26*I8,0)</f>
        <v>885</v>
      </c>
      <c r="P8">
        <f>ROUND(SUM(L8:O8),0)</f>
        <v>23194</v>
      </c>
    </row>
    <row r="9">
      <c r="A9">
        <v>8</v>
      </c>
      <c r="B9">
        <v>907400</v>
      </c>
      <c r="C9" t="str">
        <v>SANTU KUMAR</v>
      </c>
      <c r="D9">
        <v>45809</v>
      </c>
      <c r="E9" t="str">
        <v>Casual Labour</v>
      </c>
      <c r="F9">
        <v>17847</v>
      </c>
      <c r="G9">
        <f>F9/26</f>
        <v>686.423076923077</v>
      </c>
      <c r="H9">
        <f>VLOOKUP(B9,'Sep-Attendance'!B9:AK50,36,0)</f>
        <v>37.5</v>
      </c>
      <c r="I9">
        <f>VLOOKUP(B9,'Sep-Attendance'!B9:AL50,37,0)</f>
        <v>25</v>
      </c>
      <c r="J9">
        <v>0</v>
      </c>
      <c r="K9">
        <v>0</v>
      </c>
      <c r="L9">
        <f>ROUND(G9*H9,0)</f>
        <v>25741</v>
      </c>
      <c r="N9">
        <f>ROUND(1000/26*I9,0)</f>
        <v>962</v>
      </c>
      <c r="P9">
        <f>ROUND(SUM(L9:O9),0)</f>
        <v>26703</v>
      </c>
    </row>
    <row r="10">
      <c r="A10">
        <v>9</v>
      </c>
      <c r="B10">
        <v>907402</v>
      </c>
      <c r="C10" t="str">
        <v>RAUSHAN KUMAR</v>
      </c>
      <c r="D10">
        <v>45809</v>
      </c>
      <c r="E10" t="str">
        <v>Casual Labour</v>
      </c>
      <c r="F10">
        <v>17847</v>
      </c>
      <c r="G10">
        <f>F10/26</f>
        <v>686.423076923077</v>
      </c>
      <c r="H10">
        <f>VLOOKUP(B10,'Sep-Attendance'!B10:AK51,36,0)</f>
        <v>37.5</v>
      </c>
      <c r="I10">
        <f>VLOOKUP(B10,'Sep-Attendance'!B10:AL51,37,0)</f>
        <v>25</v>
      </c>
      <c r="J10">
        <v>0</v>
      </c>
      <c r="K10">
        <v>0</v>
      </c>
      <c r="L10">
        <f>ROUND(G10*H10,0)</f>
        <v>25741</v>
      </c>
      <c r="N10">
        <f>ROUND(1000/26*I10,0)</f>
        <v>962</v>
      </c>
      <c r="P10">
        <f>ROUND(SUM(L10:O10),0)</f>
        <v>26703</v>
      </c>
    </row>
    <row r="11">
      <c r="A11">
        <v>10</v>
      </c>
      <c r="B11">
        <v>907403</v>
      </c>
      <c r="C11" t="str">
        <v>S KIRAN KUMAR</v>
      </c>
      <c r="D11">
        <v>45809</v>
      </c>
      <c r="E11" t="str">
        <v>Casual Labour</v>
      </c>
      <c r="F11">
        <v>17847</v>
      </c>
      <c r="G11">
        <f>F11/26</f>
        <v>686.423076923077</v>
      </c>
      <c r="H11">
        <f>VLOOKUP(B11,'Sep-Attendance'!B11:AK52,36,0)</f>
        <v>29.5</v>
      </c>
      <c r="I11">
        <f>VLOOKUP(B11,'Sep-Attendance'!B11:AL52,37,0)</f>
        <v>22</v>
      </c>
      <c r="J11">
        <v>0</v>
      </c>
      <c r="K11">
        <v>0</v>
      </c>
      <c r="L11">
        <f>ROUND(G11*H11,0)</f>
        <v>20249</v>
      </c>
      <c r="N11">
        <f>ROUND(1000/26*I11,0)</f>
        <v>846</v>
      </c>
      <c r="P11">
        <f>ROUND(SUM(L11:O11),0)</f>
        <v>21095</v>
      </c>
    </row>
    <row r="12">
      <c r="A12">
        <v>11</v>
      </c>
      <c r="B12">
        <v>907404</v>
      </c>
      <c r="C12" t="str">
        <v>BAMBAM THAKUR</v>
      </c>
      <c r="D12">
        <v>45809</v>
      </c>
      <c r="E12" t="str">
        <v>Casual Labour</v>
      </c>
      <c r="F12">
        <v>17847</v>
      </c>
      <c r="G12">
        <f>F12/26</f>
        <v>686.423076923077</v>
      </c>
      <c r="H12">
        <f>VLOOKUP(B12,'Sep-Attendance'!B12:AK53,36,0)</f>
        <v>39.5</v>
      </c>
      <c r="I12">
        <f>VLOOKUP(B12,'Sep-Attendance'!B12:AL53,37,0)</f>
        <v>26</v>
      </c>
      <c r="J12">
        <v>0</v>
      </c>
      <c r="K12">
        <v>0</v>
      </c>
      <c r="L12">
        <f>ROUND(G12*H12,0)</f>
        <v>27114</v>
      </c>
      <c r="N12">
        <f>ROUND(1000/26*I12,0)</f>
        <v>1000</v>
      </c>
      <c r="P12">
        <f>ROUND(SUM(L12:O12),0)</f>
        <v>28114</v>
      </c>
    </row>
    <row r="13">
      <c r="A13">
        <v>12</v>
      </c>
      <c r="B13">
        <v>907405</v>
      </c>
      <c r="C13" t="str">
        <v>Sandip Kumar</v>
      </c>
      <c r="D13">
        <v>45809</v>
      </c>
      <c r="E13" t="str">
        <v>Casual Labour</v>
      </c>
      <c r="F13">
        <v>17847</v>
      </c>
      <c r="G13">
        <f>F13/26</f>
        <v>686.423076923077</v>
      </c>
      <c r="H13">
        <f>VLOOKUP(B13,'Sep-Attendance'!B13:AK54,36,0)</f>
        <v>18</v>
      </c>
      <c r="I13">
        <f>VLOOKUP(B13,'Sep-Attendance'!B13:AL54,37,0)</f>
        <v>11</v>
      </c>
      <c r="J13">
        <v>0</v>
      </c>
      <c r="K13">
        <v>0</v>
      </c>
      <c r="L13">
        <f>ROUND(G13*H13,0)</f>
        <v>12356</v>
      </c>
      <c r="N13">
        <f>ROUND(1000/26*I13,0)</f>
        <v>423</v>
      </c>
      <c r="P13">
        <f>ROUND(SUM(L13:O13),0)</f>
        <v>12779</v>
      </c>
    </row>
    <row r="14">
      <c r="A14">
        <v>13</v>
      </c>
      <c r="B14">
        <v>907407</v>
      </c>
      <c r="C14" t="str">
        <v>Kali Paswan</v>
      </c>
      <c r="D14">
        <v>45809</v>
      </c>
      <c r="E14" t="str">
        <v>Casual Labour</v>
      </c>
      <c r="F14">
        <v>17847</v>
      </c>
      <c r="G14">
        <f>F14/26</f>
        <v>686.423076923077</v>
      </c>
      <c r="H14">
        <f>VLOOKUP(B14,'Sep-Attendance'!B14:AK55,36,0)</f>
        <v>39</v>
      </c>
      <c r="I14">
        <f>VLOOKUP(B14,'Sep-Attendance'!B14:AL55,37,0)</f>
        <v>26</v>
      </c>
      <c r="J14">
        <v>0</v>
      </c>
      <c r="K14">
        <v>0</v>
      </c>
      <c r="L14">
        <f>ROUND(G14*H14,0)</f>
        <v>26771</v>
      </c>
      <c r="N14">
        <f>ROUND(1000/26*I14,0)</f>
        <v>1000</v>
      </c>
      <c r="P14">
        <f>ROUND(SUM(L14:O14),0)</f>
        <v>27771</v>
      </c>
    </row>
    <row r="15">
      <c r="A15">
        <v>14</v>
      </c>
      <c r="B15">
        <v>907408</v>
      </c>
      <c r="C15" t="str">
        <v>Etwari Murmu</v>
      </c>
      <c r="D15">
        <v>45809</v>
      </c>
      <c r="E15" t="str">
        <v>Casual Labour</v>
      </c>
      <c r="F15">
        <v>17847</v>
      </c>
      <c r="G15">
        <f>F15/26</f>
        <v>686.423076923077</v>
      </c>
      <c r="H15">
        <f>VLOOKUP(B15,'Sep-Attendance'!B15:AK56,36,0)</f>
        <v>38</v>
      </c>
      <c r="I15">
        <f>VLOOKUP(B15,'Sep-Attendance'!B15:AL56,37,0)</f>
        <v>25</v>
      </c>
      <c r="J15">
        <v>0</v>
      </c>
      <c r="K15">
        <v>0</v>
      </c>
      <c r="L15">
        <f>ROUND(G15*H15,0)</f>
        <v>26084</v>
      </c>
      <c r="N15">
        <f>ROUND(1000/26*I15,0)</f>
        <v>962</v>
      </c>
      <c r="P15">
        <f>ROUND(SUM(L15:O15),0)</f>
        <v>27046</v>
      </c>
    </row>
    <row r="16">
      <c r="A16">
        <v>15</v>
      </c>
      <c r="B16">
        <v>907409</v>
      </c>
      <c r="C16" t="str">
        <v>Pradeep Mahto</v>
      </c>
      <c r="D16">
        <v>45809</v>
      </c>
      <c r="E16" t="str">
        <v>Casual Labour</v>
      </c>
      <c r="F16">
        <v>17847</v>
      </c>
      <c r="G16">
        <f>F16/26</f>
        <v>686.423076923077</v>
      </c>
      <c r="H16">
        <f>VLOOKUP(B16,'Sep-Attendance'!B16:AK57,36,0)</f>
        <v>41</v>
      </c>
      <c r="I16">
        <f>VLOOKUP(B16,'Sep-Attendance'!B16:AL57,37,0)</f>
        <v>26</v>
      </c>
      <c r="J16">
        <v>0</v>
      </c>
      <c r="K16">
        <v>0</v>
      </c>
      <c r="L16">
        <f>ROUND(G16*H16,0)</f>
        <v>28143</v>
      </c>
      <c r="N16">
        <f>ROUND(1000/26*I16,0)</f>
        <v>1000</v>
      </c>
      <c r="P16">
        <f>ROUND(SUM(L16:O16),0)</f>
        <v>29143</v>
      </c>
    </row>
    <row r="17">
      <c r="A17">
        <v>16</v>
      </c>
      <c r="B17">
        <v>907410</v>
      </c>
      <c r="C17" t="str">
        <v>Akalu Hembram</v>
      </c>
      <c r="D17">
        <v>45809</v>
      </c>
      <c r="E17" t="str">
        <v>Casual Labour</v>
      </c>
      <c r="F17">
        <v>17847</v>
      </c>
      <c r="G17">
        <f>F17/26</f>
        <v>686.423076923077</v>
      </c>
      <c r="H17">
        <f>VLOOKUP(B17,'Sep-Attendance'!B17:AK58,36,0)</f>
        <v>37.5</v>
      </c>
      <c r="I17">
        <f>VLOOKUP(B17,'Sep-Attendance'!B17:AL58,37,0)</f>
        <v>25</v>
      </c>
      <c r="J17">
        <v>0</v>
      </c>
      <c r="K17">
        <v>0</v>
      </c>
      <c r="L17">
        <f>ROUND(G17*H17,0)</f>
        <v>25741</v>
      </c>
      <c r="N17">
        <f>ROUND(1000/26*I17,0)</f>
        <v>962</v>
      </c>
      <c r="P17">
        <f>ROUND(SUM(L17:O17),0)</f>
        <v>26703</v>
      </c>
    </row>
    <row r="18">
      <c r="A18">
        <v>17</v>
      </c>
      <c r="B18">
        <v>907411</v>
      </c>
      <c r="C18" t="str">
        <v>Rajesh Kumar Mahto</v>
      </c>
      <c r="D18">
        <v>45809</v>
      </c>
      <c r="E18" t="str">
        <v>Casual Labour</v>
      </c>
      <c r="F18">
        <v>17847</v>
      </c>
      <c r="G18">
        <f>F18/26</f>
        <v>686.423076923077</v>
      </c>
      <c r="H18">
        <f>VLOOKUP(B18,'Sep-Attendance'!B18:AK59,36,0)</f>
        <v>40.5</v>
      </c>
      <c r="I18">
        <f>VLOOKUP(B18,'Sep-Attendance'!B18:AL59,37,0)</f>
        <v>26</v>
      </c>
      <c r="J18">
        <v>0</v>
      </c>
      <c r="K18">
        <v>0</v>
      </c>
      <c r="L18">
        <f>ROUND(G18*H18,0)</f>
        <v>27800</v>
      </c>
      <c r="N18">
        <f>ROUND(1000/26*I18,0)</f>
        <v>1000</v>
      </c>
      <c r="P18">
        <f>ROUND(SUM(L18:O18),0)</f>
        <v>28800</v>
      </c>
    </row>
    <row r="19">
      <c r="A19">
        <v>18</v>
      </c>
      <c r="B19">
        <v>907413</v>
      </c>
      <c r="C19" t="str">
        <v>Mahesh Kumar Tuda</v>
      </c>
      <c r="D19">
        <v>45809</v>
      </c>
      <c r="E19" t="str">
        <v>Casual Labour</v>
      </c>
      <c r="F19">
        <v>17847</v>
      </c>
      <c r="G19">
        <f>F19/26</f>
        <v>686.423076923077</v>
      </c>
      <c r="H19">
        <f>VLOOKUP(B19,'Sep-Attendance'!B19:AK60,36,0)</f>
        <v>42</v>
      </c>
      <c r="I19">
        <f>VLOOKUP(B19,'Sep-Attendance'!B19:AL60,37,0)</f>
        <v>26</v>
      </c>
      <c r="J19">
        <v>0</v>
      </c>
      <c r="K19">
        <v>0</v>
      </c>
      <c r="L19">
        <f>ROUND(G19*H19,0)</f>
        <v>28830</v>
      </c>
      <c r="N19">
        <f>ROUND(1000/26*I19,0)</f>
        <v>1000</v>
      </c>
      <c r="P19">
        <f>ROUND(SUM(L19:O19),0)</f>
        <v>29830</v>
      </c>
    </row>
    <row r="20">
      <c r="A20">
        <v>19</v>
      </c>
      <c r="B20">
        <v>907414</v>
      </c>
      <c r="C20" t="str">
        <v>Hari Tudu</v>
      </c>
      <c r="D20">
        <v>45809</v>
      </c>
      <c r="E20" t="str">
        <v>Casual Labour</v>
      </c>
      <c r="F20">
        <v>17847</v>
      </c>
      <c r="G20">
        <f>F20/26</f>
        <v>686.423076923077</v>
      </c>
      <c r="H20">
        <f>VLOOKUP(B20,'Sep-Attendance'!B20:AK61,36,0)</f>
        <v>39</v>
      </c>
      <c r="I20">
        <f>VLOOKUP(B20,'Sep-Attendance'!B20:AL61,37,0)</f>
        <v>26</v>
      </c>
      <c r="J20">
        <v>0</v>
      </c>
      <c r="K20">
        <v>0</v>
      </c>
      <c r="L20">
        <f>ROUND(G20*H20,0)</f>
        <v>26771</v>
      </c>
      <c r="N20">
        <f>ROUND(1000/26*I20,0)</f>
        <v>1000</v>
      </c>
      <c r="P20">
        <f>ROUND(SUM(L20:O20),0)</f>
        <v>27771</v>
      </c>
    </row>
    <row r="21">
      <c r="A21">
        <v>20</v>
      </c>
      <c r="B21">
        <v>907415</v>
      </c>
      <c r="C21" t="str">
        <v>M Janardana</v>
      </c>
      <c r="D21">
        <v>45809</v>
      </c>
      <c r="E21" t="str">
        <v>Casual Labour</v>
      </c>
      <c r="F21">
        <v>17847</v>
      </c>
      <c r="G21">
        <f>F21/26</f>
        <v>686.423076923077</v>
      </c>
      <c r="H21">
        <f>VLOOKUP(B21,'Sep-Attendance'!B21:AK62,36,0)</f>
        <v>34</v>
      </c>
      <c r="I21">
        <f>VLOOKUP(B21,'Sep-Attendance'!B21:AL62,37,0)</f>
        <v>24</v>
      </c>
      <c r="J21">
        <v>0</v>
      </c>
      <c r="K21">
        <v>0</v>
      </c>
      <c r="L21">
        <f>ROUND(G21*H21,0)</f>
        <v>23338</v>
      </c>
      <c r="N21">
        <f>ROUND(1000/26*I21,0)</f>
        <v>923</v>
      </c>
      <c r="P21">
        <f>ROUND(SUM(L21:O21),0)</f>
        <v>24261</v>
      </c>
    </row>
    <row r="22">
      <c r="A22">
        <v>21</v>
      </c>
      <c r="B22">
        <v>907417</v>
      </c>
      <c r="C22" t="str">
        <v>Rupesh Kumar Thakur</v>
      </c>
      <c r="D22">
        <v>45809</v>
      </c>
      <c r="E22" t="str">
        <v>Casual Labour</v>
      </c>
      <c r="F22">
        <v>17847</v>
      </c>
      <c r="G22">
        <f>F22/26</f>
        <v>686.423076923077</v>
      </c>
      <c r="H22">
        <f>VLOOKUP(B22,'Sep-Attendance'!B22:AK63,36,0)</f>
        <v>39.5</v>
      </c>
      <c r="I22">
        <f>VLOOKUP(B22,'Sep-Attendance'!B22:AL63,37,0)</f>
        <v>26</v>
      </c>
      <c r="J22">
        <v>0</v>
      </c>
      <c r="K22">
        <v>0</v>
      </c>
      <c r="L22">
        <f>ROUND(G22*H22,0)</f>
        <v>27114</v>
      </c>
      <c r="N22">
        <f>ROUND(1000/26*I22,0)</f>
        <v>1000</v>
      </c>
      <c r="P22">
        <f>ROUND(SUM(L22:O22),0)</f>
        <v>28114</v>
      </c>
    </row>
    <row r="23">
      <c r="A23">
        <v>22</v>
      </c>
      <c r="B23">
        <v>907419</v>
      </c>
      <c r="C23" t="str">
        <v>Ranuj Pegu</v>
      </c>
      <c r="D23">
        <v>45809</v>
      </c>
      <c r="E23" t="str">
        <v>Casual Labour</v>
      </c>
      <c r="F23">
        <v>17847</v>
      </c>
      <c r="G23">
        <f>F23/26</f>
        <v>686.423076923077</v>
      </c>
      <c r="H23">
        <f>VLOOKUP(B23,'Sep-Attendance'!B23:AK64,36,0)</f>
        <v>38.5</v>
      </c>
      <c r="I23">
        <f>VLOOKUP(B23,'Sep-Attendance'!B23:AL64,37,0)</f>
        <v>26</v>
      </c>
      <c r="J23">
        <v>0</v>
      </c>
      <c r="K23">
        <v>0</v>
      </c>
      <c r="L23">
        <f>ROUND(G23*H23,0)</f>
        <v>26427</v>
      </c>
      <c r="N23">
        <f>ROUND(1000/26*I23,0)</f>
        <v>1000</v>
      </c>
      <c r="P23">
        <f>ROUND(SUM(L23:O23),0)</f>
        <v>27427</v>
      </c>
    </row>
    <row r="24">
      <c r="A24">
        <v>23</v>
      </c>
      <c r="B24">
        <v>907420</v>
      </c>
      <c r="C24" t="str">
        <v>Pankaj Kumar Mahto</v>
      </c>
      <c r="D24">
        <v>45809</v>
      </c>
      <c r="E24" t="str">
        <v>Casual Labour</v>
      </c>
      <c r="F24">
        <v>17847</v>
      </c>
      <c r="G24">
        <f>F24/26</f>
        <v>686.423076923077</v>
      </c>
      <c r="H24">
        <f>VLOOKUP(B24,'Sep-Attendance'!B24:AK65,36,0)</f>
        <v>18.5</v>
      </c>
      <c r="I24">
        <f>VLOOKUP(B24,'Sep-Attendance'!B24:AL65,37,0)</f>
        <v>13</v>
      </c>
      <c r="J24">
        <v>0</v>
      </c>
      <c r="K24">
        <v>0</v>
      </c>
      <c r="L24">
        <f>ROUND(G24*H24,0)</f>
        <v>12699</v>
      </c>
      <c r="N24">
        <f>ROUND(1000/26*I24,0)</f>
        <v>500</v>
      </c>
      <c r="P24">
        <f>ROUND(SUM(L24:O24),0)</f>
        <v>13199</v>
      </c>
    </row>
    <row r="25">
      <c r="A25">
        <v>24</v>
      </c>
      <c r="B25">
        <v>907421</v>
      </c>
      <c r="C25" t="str">
        <v>Vikram Soren</v>
      </c>
      <c r="D25">
        <v>45809</v>
      </c>
      <c r="E25" t="str">
        <v>Casual Labour</v>
      </c>
      <c r="F25">
        <v>17847</v>
      </c>
      <c r="G25">
        <f>F25/26</f>
        <v>686.423076923077</v>
      </c>
      <c r="H25">
        <f>VLOOKUP(B25,'Sep-Attendance'!B25:AK66,36,0)</f>
        <v>19</v>
      </c>
      <c r="I25">
        <f>VLOOKUP(B25,'Sep-Attendance'!B25:AL66,37,0)</f>
        <v>15</v>
      </c>
      <c r="J25">
        <v>0</v>
      </c>
      <c r="K25">
        <v>0</v>
      </c>
      <c r="L25">
        <f>ROUND(G25*H25,0)</f>
        <v>13042</v>
      </c>
      <c r="N25">
        <f>ROUND(1000/26*I25,0)</f>
        <v>577</v>
      </c>
      <c r="P25">
        <f>ROUND(SUM(L25:O25),0)</f>
        <v>13619</v>
      </c>
    </row>
    <row r="26">
      <c r="A26">
        <v>25</v>
      </c>
      <c r="B26">
        <v>907422</v>
      </c>
      <c r="C26" t="str">
        <v>Chandan Kumar</v>
      </c>
      <c r="D26">
        <v>45809</v>
      </c>
      <c r="E26" t="str">
        <v>Casual Labour</v>
      </c>
      <c r="F26">
        <v>17847</v>
      </c>
      <c r="G26">
        <f>F26/26</f>
        <v>686.423076923077</v>
      </c>
      <c r="H26">
        <f>VLOOKUP(B26,'Sep-Attendance'!B26:AK67,36,0)</f>
        <v>6</v>
      </c>
      <c r="I26">
        <f>VLOOKUP(B26,'Sep-Attendance'!B26:AL67,37,0)</f>
        <v>4</v>
      </c>
      <c r="J26">
        <v>0</v>
      </c>
      <c r="K26">
        <v>0</v>
      </c>
      <c r="L26">
        <f>ROUND(G26*H26,0)</f>
        <v>4119</v>
      </c>
      <c r="N26">
        <f>ROUND(1000/26*I26,0)</f>
        <v>154</v>
      </c>
      <c r="P26">
        <f>ROUND(SUM(L26:O26),0)</f>
        <v>4273</v>
      </c>
    </row>
    <row r="27">
      <c r="A27">
        <v>26</v>
      </c>
      <c r="B27">
        <v>907428</v>
      </c>
      <c r="C27" t="str">
        <v>Bittu Sona</v>
      </c>
      <c r="D27">
        <v>45809</v>
      </c>
      <c r="E27" t="str">
        <v>Casual Labour</v>
      </c>
      <c r="F27">
        <v>17847</v>
      </c>
      <c r="G27">
        <f>F27/26</f>
        <v>686.423076923077</v>
      </c>
      <c r="H27">
        <f>VLOOKUP(B27,'Sep-Attendance'!B27:AK68,36,0)</f>
        <v>11.5</v>
      </c>
      <c r="I27">
        <f>VLOOKUP(B27,'Sep-Attendance'!B27:AL68,37,0)</f>
        <v>7</v>
      </c>
      <c r="J27">
        <v>0</v>
      </c>
      <c r="K27">
        <v>0</v>
      </c>
      <c r="L27">
        <f>ROUND(G27*H27,0)</f>
        <v>7894</v>
      </c>
      <c r="N27">
        <f>ROUND(1000/26*I27,0)</f>
        <v>269</v>
      </c>
      <c r="P27">
        <f>ROUND(SUM(L27:O27),0)</f>
        <v>8163</v>
      </c>
    </row>
    <row r="28">
      <c r="A28">
        <v>27</v>
      </c>
      <c r="B28">
        <v>907429</v>
      </c>
      <c r="C28" t="str">
        <v>Rajkishor Hembram</v>
      </c>
      <c r="D28">
        <v>45809</v>
      </c>
      <c r="E28" t="str">
        <v>Casual Labour</v>
      </c>
      <c r="F28">
        <v>17847</v>
      </c>
      <c r="G28">
        <f>F28/26</f>
        <v>686.423076923077</v>
      </c>
      <c r="H28">
        <f>VLOOKUP(B28,'Sep-Attendance'!B28:AK69,36,0)</f>
        <v>17</v>
      </c>
      <c r="I28">
        <f>VLOOKUP(B28,'Sep-Attendance'!B28:AL69,37,0)</f>
        <v>12</v>
      </c>
      <c r="J28">
        <v>0</v>
      </c>
      <c r="K28">
        <v>0</v>
      </c>
      <c r="L28">
        <f>ROUND(G28*H28,0)</f>
        <v>11669</v>
      </c>
      <c r="N28">
        <f>ROUND(1000/26*I28,0)</f>
        <v>462</v>
      </c>
      <c r="P28">
        <f>ROUND(SUM(L28:O28),0)</f>
        <v>12131</v>
      </c>
    </row>
    <row r="29">
      <c r="A29">
        <v>28</v>
      </c>
      <c r="B29">
        <v>907430</v>
      </c>
      <c r="C29" t="str">
        <v>Rajkumar Mahto</v>
      </c>
      <c r="D29">
        <v>45809</v>
      </c>
      <c r="E29" t="str">
        <v>Casual Labour</v>
      </c>
      <c r="F29">
        <v>17847</v>
      </c>
      <c r="G29">
        <f>F29/26</f>
        <v>686.423076923077</v>
      </c>
      <c r="H29">
        <f>VLOOKUP(B29,'Sep-Attendance'!B29:AK70,36,0)</f>
        <v>17</v>
      </c>
      <c r="I29">
        <f>VLOOKUP(B29,'Sep-Attendance'!B29:AL70,37,0)</f>
        <v>13</v>
      </c>
      <c r="J29">
        <v>0</v>
      </c>
      <c r="K29">
        <v>0</v>
      </c>
      <c r="L29">
        <f>ROUND(G29*H29,0)</f>
        <v>11669</v>
      </c>
      <c r="N29">
        <f>ROUND(1000/26*I29,0)</f>
        <v>500</v>
      </c>
      <c r="P29">
        <f>ROUND(SUM(L29:O29),0)</f>
        <v>12169</v>
      </c>
    </row>
    <row r="30">
      <c r="A30">
        <v>29</v>
      </c>
      <c r="B30">
        <v>907432</v>
      </c>
      <c r="C30" t="str">
        <v>Anand Kumar Manjhi</v>
      </c>
      <c r="D30">
        <v>45809</v>
      </c>
      <c r="E30" t="str">
        <v>Casual Labour</v>
      </c>
      <c r="F30">
        <v>17847</v>
      </c>
      <c r="G30">
        <f>F30/26</f>
        <v>686.423076923077</v>
      </c>
      <c r="H30">
        <f>VLOOKUP(B30,'Sep-Attendance'!B30:AK71,36,0)</f>
        <v>38</v>
      </c>
      <c r="I30">
        <f>VLOOKUP(B30,'Sep-Attendance'!B30:AL71,37,0)</f>
        <v>26</v>
      </c>
      <c r="J30">
        <v>0</v>
      </c>
      <c r="K30">
        <v>0</v>
      </c>
      <c r="L30">
        <f>ROUND(G30*H30,0)</f>
        <v>26084</v>
      </c>
      <c r="N30">
        <f>ROUND(1000/26*I30,0)</f>
        <v>1000</v>
      </c>
      <c r="P30">
        <f>ROUND(SUM(L30:O30),0)</f>
        <v>27084</v>
      </c>
    </row>
    <row r="31">
      <c r="A31">
        <v>30</v>
      </c>
      <c r="B31">
        <v>907433</v>
      </c>
      <c r="C31" t="str">
        <v>Dhiraj Kumar</v>
      </c>
      <c r="D31">
        <v>45809</v>
      </c>
      <c r="E31" t="str">
        <v>Casual Labour</v>
      </c>
      <c r="F31">
        <v>17847</v>
      </c>
      <c r="G31">
        <f>F31/26</f>
        <v>686.423076923077</v>
      </c>
      <c r="H31">
        <f>VLOOKUP(B31,'Sep-Attendance'!B31:AK72,36,0)</f>
        <v>38.5</v>
      </c>
      <c r="I31">
        <f>VLOOKUP(B31,'Sep-Attendance'!B31:AL72,37,0)</f>
        <v>26</v>
      </c>
      <c r="J31">
        <v>0</v>
      </c>
      <c r="K31">
        <v>0</v>
      </c>
      <c r="L31">
        <f>ROUND(G31*H31,0)</f>
        <v>26427</v>
      </c>
      <c r="N31">
        <f>ROUND(1000/26*I31,0)</f>
        <v>1000</v>
      </c>
      <c r="P31">
        <f>ROUND(SUM(L31:O31),0)</f>
        <v>27427</v>
      </c>
    </row>
    <row r="32">
      <c r="A32">
        <v>31</v>
      </c>
      <c r="B32">
        <v>907650</v>
      </c>
      <c r="C32" t="str">
        <v>Raju Mahto</v>
      </c>
      <c r="D32">
        <v>45876</v>
      </c>
      <c r="E32" t="str">
        <v>Casual Labour</v>
      </c>
      <c r="F32">
        <v>17847</v>
      </c>
      <c r="G32">
        <f>F32/26</f>
        <v>686.423076923077</v>
      </c>
      <c r="H32">
        <f>VLOOKUP(B32,'Sep-Attendance'!B32:AK73,36,0)</f>
        <v>37</v>
      </c>
      <c r="I32">
        <f>VLOOKUP(B32,'Sep-Attendance'!B32:AL73,37,0)</f>
        <v>24</v>
      </c>
      <c r="J32">
        <v>0</v>
      </c>
      <c r="K32">
        <v>0</v>
      </c>
      <c r="L32">
        <f>ROUND(G32*H32,0)</f>
        <v>25398</v>
      </c>
      <c r="N32">
        <f>ROUND(1000/26*I32,0)</f>
        <v>923</v>
      </c>
      <c r="P32">
        <f>ROUND(SUM(L32:O32),0)</f>
        <v>26321</v>
      </c>
    </row>
    <row r="33">
      <c r="A33">
        <v>32</v>
      </c>
      <c r="B33">
        <v>907689</v>
      </c>
      <c r="C33" t="str">
        <v>Mantu Kumar Thakur</v>
      </c>
      <c r="D33">
        <v>45888</v>
      </c>
      <c r="E33" t="str">
        <v>Casual Labour</v>
      </c>
      <c r="F33">
        <v>17847</v>
      </c>
      <c r="G33">
        <f>F33/26</f>
        <v>686.423076923077</v>
      </c>
      <c r="H33">
        <f>VLOOKUP(B33,'Sep-Attendance'!B33:AK74,36,0)</f>
        <v>39</v>
      </c>
      <c r="I33">
        <f>VLOOKUP(B33,'Sep-Attendance'!B33:AL74,37,0)</f>
        <v>26</v>
      </c>
      <c r="J33">
        <v>0</v>
      </c>
      <c r="K33">
        <v>0</v>
      </c>
      <c r="L33">
        <f>ROUND(G33*H33,0)</f>
        <v>26771</v>
      </c>
      <c r="N33">
        <f>ROUND(1000/26*I33,0)</f>
        <v>1000</v>
      </c>
      <c r="P33">
        <f>ROUND(SUM(L33:O33),0)</f>
        <v>27771</v>
      </c>
    </row>
    <row r="34">
      <c r="A34">
        <v>33</v>
      </c>
      <c r="B34">
        <v>907690</v>
      </c>
      <c r="C34" t="str">
        <v>Niklas Mondol</v>
      </c>
      <c r="D34">
        <v>45894</v>
      </c>
      <c r="E34" t="str">
        <v>Casual Labour</v>
      </c>
      <c r="F34">
        <v>17847</v>
      </c>
      <c r="G34">
        <f>F34/26</f>
        <v>686.423076923077</v>
      </c>
      <c r="H34">
        <f>VLOOKUP(B34,'Sep-Attendance'!B34:AK75,36,0)</f>
        <v>37.5</v>
      </c>
      <c r="I34">
        <f>VLOOKUP(B34,'Sep-Attendance'!B34:AL75,37,0)</f>
        <v>26</v>
      </c>
      <c r="J34">
        <v>0</v>
      </c>
      <c r="K34">
        <v>0</v>
      </c>
      <c r="L34">
        <f>ROUND(G34*H34,0)</f>
        <v>25741</v>
      </c>
      <c r="N34">
        <f>ROUND(1000/26*I34,0)</f>
        <v>1000</v>
      </c>
      <c r="P34">
        <f>ROUND(SUM(L34:O34),0)</f>
        <v>26741</v>
      </c>
    </row>
    <row r="35">
      <c r="A35">
        <v>34</v>
      </c>
      <c r="B35">
        <v>907714</v>
      </c>
      <c r="C35" t="str">
        <v>S Mustafa</v>
      </c>
      <c r="D35">
        <v>45911</v>
      </c>
      <c r="E35" t="str">
        <v>Casual Labour</v>
      </c>
      <c r="F35">
        <v>17847</v>
      </c>
      <c r="G35">
        <f>F35/26</f>
        <v>686.423076923077</v>
      </c>
      <c r="H35">
        <f>VLOOKUP(B35,'Sep-Attendance'!B35:AK76,36,0)</f>
        <v>13</v>
      </c>
      <c r="I35">
        <f>VLOOKUP(B35,'Sep-Attendance'!B35:AL76,37,0)</f>
        <v>13</v>
      </c>
      <c r="J35">
        <v>0</v>
      </c>
      <c r="K35">
        <v>0</v>
      </c>
      <c r="L35">
        <f>ROUND(G35*H35,0)</f>
        <v>8924</v>
      </c>
      <c r="N35">
        <f>ROUND(1000/26*I35,0)</f>
        <v>500</v>
      </c>
      <c r="P35">
        <f>ROUND(SUM(L35:O35),0)</f>
        <v>9424</v>
      </c>
    </row>
    <row r="36">
      <c r="A36">
        <v>35</v>
      </c>
      <c r="B36">
        <v>907390</v>
      </c>
      <c r="C36" t="str">
        <v>KUPPAMPATI POLAIAH</v>
      </c>
      <c r="D36">
        <v>45809</v>
      </c>
      <c r="E36" t="str">
        <v>Sr. MHE</v>
      </c>
      <c r="F36">
        <v>32908</v>
      </c>
      <c r="G36">
        <f>F36/26</f>
        <v>1265.69230769231</v>
      </c>
      <c r="H36">
        <f>VLOOKUP(B36,'Sep-Attendance'!B36:AK77,36,0)</f>
        <v>22</v>
      </c>
      <c r="I36">
        <f>VLOOKUP(B36,'Sep-Attendance'!B36:AL77,37,0)</f>
        <v>22</v>
      </c>
      <c r="J36">
        <v>0</v>
      </c>
      <c r="K36">
        <v>0</v>
      </c>
      <c r="L36">
        <f>ROUND(G36*H36,0)</f>
        <v>27845</v>
      </c>
      <c r="N36">
        <f>ROUND(1000/26*I36,0)</f>
        <v>846</v>
      </c>
      <c r="P36">
        <f>ROUND(SUM(L36:O36),0)</f>
        <v>28691</v>
      </c>
    </row>
    <row r="37">
      <c r="A37">
        <v>36</v>
      </c>
      <c r="B37">
        <v>907391</v>
      </c>
      <c r="C37" t="str">
        <v>R Sankar</v>
      </c>
      <c r="D37">
        <v>45809</v>
      </c>
      <c r="E37" t="str">
        <v>Sr. MHE</v>
      </c>
      <c r="F37">
        <v>32908</v>
      </c>
      <c r="G37">
        <f>F37/26</f>
        <v>1265.69230769231</v>
      </c>
      <c r="H37">
        <f>VLOOKUP(B37,'Sep-Attendance'!B37:AK78,36,0)</f>
        <v>21</v>
      </c>
      <c r="I37">
        <f>VLOOKUP(B37,'Sep-Attendance'!B37:AL78,37,0)</f>
        <v>20</v>
      </c>
      <c r="J37">
        <v>0</v>
      </c>
      <c r="K37">
        <v>0</v>
      </c>
      <c r="L37">
        <f>ROUND(G37*H37,0)</f>
        <v>26580</v>
      </c>
      <c r="N37">
        <f>ROUND(1000/26*I37,0)</f>
        <v>769</v>
      </c>
      <c r="P37">
        <f>ROUND(SUM(L37:O37),0)</f>
        <v>27349</v>
      </c>
    </row>
    <row r="38">
      <c r="A38">
        <v>37</v>
      </c>
      <c r="B38">
        <v>907392</v>
      </c>
      <c r="C38" t="str">
        <v>Balaji</v>
      </c>
      <c r="D38">
        <v>45809</v>
      </c>
      <c r="E38" t="str">
        <v>Sr. MHE</v>
      </c>
      <c r="F38">
        <v>32908</v>
      </c>
      <c r="G38">
        <f>F38/26</f>
        <v>1265.69230769231</v>
      </c>
      <c r="H38">
        <f>VLOOKUP(B38,'Sep-Attendance'!B38:AK79,36,0)</f>
        <v>29</v>
      </c>
      <c r="I38">
        <f>VLOOKUP(B38,'Sep-Attendance'!B38:AL79,37,0)</f>
        <v>23</v>
      </c>
      <c r="J38">
        <v>0</v>
      </c>
      <c r="K38">
        <v>0</v>
      </c>
      <c r="L38">
        <f>ROUND(G38*H38,0)</f>
        <v>36705</v>
      </c>
      <c r="N38">
        <f>ROUND(1000/26*I38,0)</f>
        <v>885</v>
      </c>
      <c r="P38">
        <f>ROUND(SUM(L38:O38),0)</f>
        <v>37590</v>
      </c>
    </row>
    <row r="39">
      <c r="A39">
        <v>38</v>
      </c>
      <c r="B39">
        <v>907412</v>
      </c>
      <c r="C39" t="str">
        <v>S Karthik</v>
      </c>
      <c r="D39">
        <v>45809</v>
      </c>
      <c r="E39" t="str">
        <v>DEO</v>
      </c>
      <c r="F39">
        <v>27250</v>
      </c>
      <c r="G39">
        <f>F39/26</f>
        <v>1048.07692307692</v>
      </c>
      <c r="H39">
        <f>VLOOKUP(B39,'Sep-Attendance'!B39:AK80,36,0)</f>
        <v>12</v>
      </c>
      <c r="I39">
        <f>VLOOKUP(B39,'Sep-Attendance'!B39:AL80,37,0)</f>
        <v>11</v>
      </c>
      <c r="J39">
        <v>0</v>
      </c>
      <c r="K39">
        <v>0</v>
      </c>
      <c r="L39">
        <f>ROUND(G39*H39,0)</f>
        <v>12577</v>
      </c>
      <c r="N39">
        <f>ROUND(1000/26*I39,0)</f>
        <v>423</v>
      </c>
      <c r="P39">
        <f>ROUND(SUM(L39:O39),0)</f>
        <v>13000</v>
      </c>
    </row>
    <row r="40">
      <c r="A40">
        <v>39</v>
      </c>
      <c r="B40">
        <v>907424</v>
      </c>
      <c r="C40" t="str">
        <v>K Munaswamy</v>
      </c>
      <c r="D40">
        <v>45809</v>
      </c>
      <c r="E40" t="str">
        <v>Jr. DEO</v>
      </c>
      <c r="F40">
        <v>25432</v>
      </c>
      <c r="G40">
        <f>F40/26</f>
        <v>978.153846153846</v>
      </c>
      <c r="H40">
        <f>VLOOKUP(B40,'Sep-Attendance'!B40:AK81,36,0)</f>
        <v>24</v>
      </c>
      <c r="I40">
        <f>VLOOKUP(B40,'Sep-Attendance'!B40:AL81,37,0)</f>
        <v>22</v>
      </c>
      <c r="J40">
        <v>0</v>
      </c>
      <c r="K40">
        <v>0</v>
      </c>
      <c r="L40">
        <f>ROUND(G40*H40,0)</f>
        <v>23476</v>
      </c>
      <c r="N40">
        <f>ROUND(1000/26*I40,0)</f>
        <v>846</v>
      </c>
      <c r="P40">
        <f>ROUND(SUM(L40:O40),0)</f>
        <v>24322</v>
      </c>
    </row>
    <row r="41">
      <c r="A41">
        <v>40</v>
      </c>
      <c r="B41">
        <v>907426</v>
      </c>
      <c r="C41" t="str">
        <v>C Gowtham</v>
      </c>
      <c r="D41">
        <v>45809</v>
      </c>
      <c r="E41" t="str">
        <v>Jr. DEO</v>
      </c>
      <c r="F41">
        <v>25432</v>
      </c>
      <c r="G41">
        <f>F41/26</f>
        <v>978.153846153846</v>
      </c>
      <c r="H41">
        <f>VLOOKUP(B41,'Sep-Attendance'!B41:AK82,36,0)</f>
        <v>7</v>
      </c>
      <c r="I41">
        <f>VLOOKUP(B41,'Sep-Attendance'!B41:AL82,37,0)</f>
        <v>7</v>
      </c>
      <c r="J41">
        <v>0</v>
      </c>
      <c r="K41">
        <v>0</v>
      </c>
      <c r="L41">
        <f>ROUND(G41*H41,0)</f>
        <v>6847</v>
      </c>
      <c r="N41">
        <f>ROUND(1000/26*I41,0)</f>
        <v>269</v>
      </c>
      <c r="P41">
        <f>ROUND(SUM(L41:O41),0)</f>
        <v>7116</v>
      </c>
    </row>
    <row r="42">
      <c r="A42">
        <v>41</v>
      </c>
      <c r="B42">
        <v>907416</v>
      </c>
      <c r="C42" t="str">
        <v>V Jayaprakash</v>
      </c>
      <c r="D42">
        <v>45809</v>
      </c>
      <c r="E42" t="str">
        <v>Supervisor</v>
      </c>
      <c r="F42">
        <v>25432</v>
      </c>
      <c r="G42">
        <f>F42/26</f>
        <v>978.153846153846</v>
      </c>
      <c r="H42">
        <f>VLOOKUP(B42,'Sep-Attendance'!B42:AK83,36,0)</f>
        <v>24</v>
      </c>
      <c r="I42">
        <f>VLOOKUP(B42,'Sep-Attendance'!B42:AL83,37,0)</f>
        <v>21</v>
      </c>
      <c r="J42">
        <v>0</v>
      </c>
      <c r="K42">
        <v>0</v>
      </c>
      <c r="L42">
        <f>ROUND(G42*H42,0)</f>
        <v>23476</v>
      </c>
      <c r="N42">
        <f>ROUND(1000/26*I42,0)</f>
        <v>808</v>
      </c>
      <c r="P42">
        <f>ROUND(SUM(L42:O42),0)</f>
        <v>24284</v>
      </c>
    </row>
    <row r="43">
      <c r="A43">
        <v>42</v>
      </c>
      <c r="B43">
        <v>907434</v>
      </c>
      <c r="C43" t="str">
        <v>J Muni Prathap</v>
      </c>
      <c r="D43">
        <v>45809</v>
      </c>
      <c r="E43" t="str">
        <v>Jr. Supervisor</v>
      </c>
      <c r="F43">
        <v>24204</v>
      </c>
      <c r="G43">
        <f>F43/26</f>
        <v>930.923076923077</v>
      </c>
      <c r="H43">
        <f>VLOOKUP(B43,'Sep-Attendance'!B43:AK84,36,0)</f>
        <v>21.5</v>
      </c>
      <c r="I43">
        <f>VLOOKUP(B43,'Sep-Attendance'!B43:AL84,37,0)</f>
        <v>20</v>
      </c>
      <c r="J43">
        <v>0</v>
      </c>
      <c r="K43">
        <v>0</v>
      </c>
      <c r="L43">
        <f>ROUND(G43*H43,0)</f>
        <v>20015</v>
      </c>
      <c r="N43">
        <f>ROUND(1000/26*I43,0)</f>
        <v>769</v>
      </c>
      <c r="P43">
        <f>ROUND(SUM(L43:O43),0)</f>
        <v>20784</v>
      </c>
    </row>
    <row r="44">
      <c r="F44">
        <f>SUM(F2:F43)</f>
        <v>842691</v>
      </c>
      <c r="G44">
        <f>SUM(G2:G43)</f>
        <v>32411.1923076923</v>
      </c>
      <c r="H44">
        <f>SUM(H2:H43)</f>
        <v>1201.5</v>
      </c>
      <c r="I44">
        <f>SUM(I2:I43)</f>
        <v>866</v>
      </c>
      <c r="J44">
        <f>SUM(J2:J43)</f>
        <v>0</v>
      </c>
      <c r="K44">
        <f>SUM(K2:K43)</f>
        <v>0</v>
      </c>
      <c r="L44">
        <f>SUM(L2:L43)</f>
        <v>904322</v>
      </c>
      <c r="M44">
        <f>SUM(M2:M43)</f>
        <v>0</v>
      </c>
      <c r="N44">
        <f>SUM(N2:N43)</f>
        <v>33310</v>
      </c>
      <c r="O44">
        <f>SUM(O2:O43)</f>
        <v>0</v>
      </c>
      <c r="P44">
        <f>SUM(P2:P43)</f>
        <v>937632</v>
      </c>
    </row>
    <row r="46">
      <c r="M46" t="str">
        <v>Amount</v>
      </c>
      <c r="P46">
        <f>P44</f>
        <v>937632</v>
      </c>
    </row>
    <row r="48">
      <c r="M48" t="str">
        <v>GST 18%</v>
      </c>
      <c r="P48">
        <f>P46*18%</f>
        <v>168773.76</v>
      </c>
    </row>
    <row r="50">
      <c r="M50" t="str">
        <v>Total Amount</v>
      </c>
      <c r="P50">
        <f>P46+P48</f>
        <v>1106405.76</v>
      </c>
    </row>
    <row r="51">
      <c r="M51" t="str">
        <v>Credits Applied   ( -)</v>
      </c>
      <c r="P51">
        <f>P55</f>
        <v>12390</v>
      </c>
    </row>
    <row r="52">
      <c r="M52" t="str">
        <v>Invoice Amount</v>
      </c>
      <c r="P52">
        <f>P50-P51</f>
        <v>1094015.76</v>
      </c>
    </row>
    <row r="53">
      <c r="M53" t="str">
        <v>Credit Note (Food Deduction)</v>
      </c>
      <c r="P53">
        <f>'Rev Salary'!AC44</f>
        <v>10500</v>
      </c>
    </row>
    <row r="54">
      <c r="M54" t="str">
        <v>IGST18% (Credit Note)</v>
      </c>
      <c r="P54">
        <f>P53*18%</f>
        <v>1890</v>
      </c>
    </row>
    <row r="55">
      <c r="M55" t="str">
        <v>Credit Note Invoice Amount</v>
      </c>
      <c r="P55">
        <f>SUM(P53:P54)</f>
        <v>12390</v>
      </c>
    </row>
  </sheetData>
  <autoFilter ref="A1:P44"/>
  <pageMargins left="0.17" right="0.17" top="0.23" bottom="0.25" header="0.17" footer="0.17"/>
  <ignoredErrors>
    <ignoredError numberStoredAsText="1" sqref="A1:R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16379"/>
  <sheetViews>
    <sheetView workbookViewId="0"/>
  </sheetViews>
  <sheetData>
    <row r="1">
      <c r="A1" t="str">
        <v>PARTICULARS</v>
      </c>
      <c r="B1" t="str">
        <v>BASIC WAGES</v>
      </c>
      <c r="C1" t="str">
        <v>VDA</v>
      </c>
      <c r="D1" t="str">
        <v>Conveyance</v>
      </c>
      <c r="E1" t="str">
        <v>HRA</v>
      </c>
      <c r="F1" t="str">
        <v xml:space="preserve"> Total  A</v>
      </c>
      <c r="G1" t="str">
        <v xml:space="preserve">PF @ 13% </v>
      </c>
      <c r="H1" t="str">
        <v>ESIC @3.25%</v>
      </c>
      <c r="I1" t="str">
        <v xml:space="preserve">Bonus @ 8.33% </v>
      </c>
      <c r="J1" t="str">
        <v>Leave 1.25  PM</v>
      </c>
      <c r="K1" t="str">
        <v>Uniform</v>
      </c>
      <c r="L1" t="str">
        <v>Total B</v>
      </c>
      <c r="M1" t="str">
        <v>Total (A+B)</v>
      </c>
      <c r="N1" t="str">
        <v>Admin. Expenses 5%</v>
      </c>
      <c r="O1" t="str">
        <v xml:space="preserve">Transport Cost </v>
      </c>
      <c r="P1" t="str">
        <v>Grand Total- CTC / 26 Days</v>
      </c>
      <c r="R1" t="str">
        <v>PF Emp</v>
      </c>
      <c r="S1" t="str">
        <v>ESI Emp</v>
      </c>
      <c r="T1" t="str">
        <v>A. Take Home</v>
      </c>
      <c r="V1" t="str">
        <v>Gross</v>
      </c>
      <c r="W1" t="str">
        <v>PF 12%</v>
      </c>
      <c r="X1" t="str">
        <v>ESIC 0.75%</v>
      </c>
      <c r="Y1" t="str">
        <v>PT</v>
      </c>
      <c r="Z1" t="str">
        <v>Net Take home</v>
      </c>
      <c r="AB1" t="str">
        <v xml:space="preserve">Perday Cost </v>
      </c>
    </row>
    <row r="2">
      <c r="A2" t="str">
        <v>Casual Labour</v>
      </c>
      <c r="B2">
        <v>5822</v>
      </c>
      <c r="C2">
        <v>7117</v>
      </c>
      <c r="D2">
        <v>0</v>
      </c>
      <c r="E2">
        <v>0</v>
      </c>
      <c r="F2">
        <f>SUM(B2:E2)</f>
        <v>12939</v>
      </c>
      <c r="G2">
        <f>IF((B2+C2)&lt;15000,(B2+C2)*13%,15000*13%)</f>
        <v>1682.07</v>
      </c>
      <c r="H2">
        <f>(F2+I2+J2)*3.25%</f>
        <v>475.76379525</v>
      </c>
      <c r="I2">
        <f>(B2+C2)*8.33%</f>
        <v>1077.8187</v>
      </c>
      <c r="J2">
        <f>F2/26*1.25</f>
        <v>622.067307692308</v>
      </c>
      <c r="K2">
        <v>200</v>
      </c>
      <c r="L2">
        <f>SUM(G2:K2)</f>
        <v>4057.71980294231</v>
      </c>
      <c r="M2">
        <f>+F2+L2</f>
        <v>16996.7198029423</v>
      </c>
      <c r="N2">
        <f>M2*5%</f>
        <v>849.835990147115</v>
      </c>
      <c r="P2">
        <f>SUM(M2:N2)+O2</f>
        <v>17846.5557930894</v>
      </c>
      <c r="R2">
        <f>(B2+C2)*12%</f>
        <v>1552.68</v>
      </c>
      <c r="S2">
        <f>SUM(F2+J2+I2)*0.75%</f>
        <v>109.791645057692</v>
      </c>
      <c r="T2">
        <f>F2-R2-S2+I2+J2</f>
        <v>12976.4143626346</v>
      </c>
      <c r="V2">
        <f>F2+I2+J2</f>
        <v>14638.8860076923</v>
      </c>
      <c r="W2">
        <f>IF((B2+C2)&lt;15000,(B2+C2)*12%,15000*12%)</f>
        <v>1552.68</v>
      </c>
      <c r="X2">
        <f>V2*0.75%</f>
        <v>109.791645057692</v>
      </c>
      <c r="Y2">
        <v>0</v>
      </c>
      <c r="Z2">
        <f>V2-W2-X2-Y2</f>
        <v>12976.4143626346</v>
      </c>
      <c r="AB2">
        <f>Z2/26</f>
        <v>499.092860101331</v>
      </c>
    </row>
    <row r="3">
      <c r="A3" t="str">
        <v>Jr. MHE Operator (Semi Skilled)</v>
      </c>
      <c r="B3">
        <v>8322</v>
      </c>
      <c r="C3">
        <v>10182</v>
      </c>
      <c r="D3">
        <v>0</v>
      </c>
      <c r="E3">
        <v>2630</v>
      </c>
      <c r="F3">
        <f>SUM(B3:E3)</f>
        <v>21134</v>
      </c>
      <c r="G3">
        <f>SUM(B3:C3)*13%</f>
        <v>2405.52</v>
      </c>
      <c r="H3">
        <f>SUM(F3+J3+I3)*3.25%</f>
        <v>769.971829</v>
      </c>
      <c r="I3">
        <f>(B3+C3)*8.33%</f>
        <v>1541.3832</v>
      </c>
      <c r="J3">
        <f>F3/26*1.25</f>
        <v>1016.05769230769</v>
      </c>
      <c r="K3">
        <v>200</v>
      </c>
      <c r="L3">
        <f>SUM(G3:K3)</f>
        <v>5932.93272130769</v>
      </c>
      <c r="M3">
        <f>+F3+L3</f>
        <v>27066.9327213077</v>
      </c>
      <c r="N3">
        <f>M3*5%</f>
        <v>1353.34663606538</v>
      </c>
      <c r="P3">
        <f>SUM(M3:N3)+O3</f>
        <v>28420.2793573731</v>
      </c>
      <c r="R3">
        <f>(B3+C3)*12%</f>
        <v>2220.48</v>
      </c>
      <c r="S3">
        <f>SUM(F3+J3+I3)*0.75%</f>
        <v>177.685806692308</v>
      </c>
      <c r="T3">
        <f>F3-R3-S3+I3+J3</f>
        <v>21293.2750856154</v>
      </c>
      <c r="V3">
        <f>F3+I3+J3</f>
        <v>23691.4408923077</v>
      </c>
      <c r="W3">
        <f>IF((B3+C3)&lt;15000,(B3+C3)*12%,15000*12%)</f>
        <v>1800</v>
      </c>
      <c r="X3">
        <f>V3*0.75%</f>
        <v>177.685806692308</v>
      </c>
      <c r="Y3">
        <v>200</v>
      </c>
      <c r="Z3">
        <f>V3-W3-X3-Y3</f>
        <v>21513.7550856154</v>
      </c>
      <c r="AB3">
        <f>Z3/26</f>
        <v>827.452118677515</v>
      </c>
    </row>
    <row r="4">
      <c r="A4" t="str">
        <v>MHE Operator (Skilled)</v>
      </c>
      <c r="B4">
        <v>8322</v>
      </c>
      <c r="C4">
        <v>10182</v>
      </c>
      <c r="D4">
        <v>0</v>
      </c>
      <c r="E4">
        <v>3581</v>
      </c>
      <c r="F4">
        <f>SUM(B4:E4)</f>
        <v>22085</v>
      </c>
      <c r="G4">
        <f>SUM(B4:C4)*13%</f>
        <v>2405.52</v>
      </c>
      <c r="H4">
        <f>SUM(F4+J4+I4)*3.25%</f>
        <v>802.3652665</v>
      </c>
      <c r="I4">
        <f>(B4+C4)*8.33%</f>
        <v>1541.3832</v>
      </c>
      <c r="J4">
        <f>F4/26*1.25</f>
        <v>1061.77884615385</v>
      </c>
      <c r="K4">
        <v>200</v>
      </c>
      <c r="L4">
        <f>SUM(G4:K4)</f>
        <v>6011.04731265385</v>
      </c>
      <c r="M4">
        <f>+F4+L4</f>
        <v>28096.0473126538</v>
      </c>
      <c r="N4">
        <f>M4*5%</f>
        <v>1404.80236563269</v>
      </c>
      <c r="P4">
        <f>SUM(M4:N4)+O4</f>
        <v>29500.8496782865</v>
      </c>
      <c r="R4">
        <f>(B4+C4)*12%</f>
        <v>2220.48</v>
      </c>
      <c r="S4">
        <f>SUM(F4+J4+I4)*0.75%</f>
        <v>185.161215346154</v>
      </c>
      <c r="T4">
        <f>F4-R4-S4+I4+J4</f>
        <v>22282.5208308077</v>
      </c>
      <c r="V4">
        <f>F4+I4+J4</f>
        <v>24688.1620461538</v>
      </c>
      <c r="W4">
        <f>IF((B4+C4)&lt;15000,(B4+C4)*12%,15000*12%)</f>
        <v>1800</v>
      </c>
      <c r="X4">
        <f>V4*0.75%</f>
        <v>185.161215346154</v>
      </c>
      <c r="Y4">
        <v>200</v>
      </c>
      <c r="Z4">
        <f>V4-W4-X4-Y4</f>
        <v>22503.0008308077</v>
      </c>
      <c r="AB4">
        <f>Z4/26</f>
        <v>865.500031954142</v>
      </c>
    </row>
    <row r="5">
      <c r="A5" t="str">
        <v>Sr. MHE</v>
      </c>
      <c r="B5">
        <v>8322</v>
      </c>
      <c r="C5">
        <v>10182</v>
      </c>
      <c r="D5">
        <v>0</v>
      </c>
      <c r="E5">
        <v>6580</v>
      </c>
      <c r="F5">
        <f>SUM(B5:E5)</f>
        <v>25084</v>
      </c>
      <c r="G5">
        <f>SUM(B5:C5)*13%</f>
        <v>2405.52</v>
      </c>
      <c r="H5">
        <f>SUM(F5+J5+I5)*3.25%</f>
        <v>904.518704</v>
      </c>
      <c r="I5">
        <f>(B5+C5)*8.33%</f>
        <v>1541.3832</v>
      </c>
      <c r="J5">
        <f>F5/26*1.25</f>
        <v>1205.96153846154</v>
      </c>
      <c r="K5">
        <v>200</v>
      </c>
      <c r="L5">
        <f>SUM(G5:K5)</f>
        <v>6257.38344246154</v>
      </c>
      <c r="M5">
        <f>+F5+L5</f>
        <v>31341.3834424615</v>
      </c>
      <c r="N5">
        <f>M5*5%</f>
        <v>1567.06917212308</v>
      </c>
      <c r="P5">
        <f>SUM(M5:N5)+O5</f>
        <v>32908.4526145846</v>
      </c>
      <c r="R5">
        <f>(B5+C5)*12%</f>
        <v>2220.48</v>
      </c>
      <c r="S5">
        <f>SUM(F5+J5+I5)*0.75%</f>
        <v>208.735085538462</v>
      </c>
      <c r="T5">
        <f>F5-R5-S5+I5+J5</f>
        <v>25402.1296529231</v>
      </c>
      <c r="V5">
        <f>F5+I5+J5</f>
        <v>27831.3447384615</v>
      </c>
      <c r="W5">
        <f>IF((B5+C5)&lt;15000,(B5+C5)*12%,15000*12%)</f>
        <v>1800</v>
      </c>
      <c r="X5">
        <f>V5*0.75%</f>
        <v>208.735085538462</v>
      </c>
      <c r="Y5">
        <v>200</v>
      </c>
      <c r="Z5">
        <f>V5-W5-X5-Y5</f>
        <v>25622.6096529231</v>
      </c>
      <c r="AB5">
        <f>Z5/26</f>
        <v>985.484986650888</v>
      </c>
    </row>
    <row r="6">
      <c r="A6" t="str">
        <v>Trainee Supervisor (Semi Skilled)</v>
      </c>
      <c r="B6">
        <v>6822</v>
      </c>
      <c r="C6">
        <v>8364</v>
      </c>
      <c r="D6">
        <v>0</v>
      </c>
      <c r="E6">
        <v>0</v>
      </c>
      <c r="F6">
        <f>SUM(B6:E6)</f>
        <v>15186</v>
      </c>
      <c r="G6">
        <f>SUM(B6:C6)*13%</f>
        <v>1974.18</v>
      </c>
      <c r="H6">
        <f>SUM(F6+J6+I6)*3.25%</f>
        <v>558.3854235</v>
      </c>
      <c r="I6">
        <f>(B6+C6)*8.33%</f>
        <v>1264.9938</v>
      </c>
      <c r="J6">
        <f>F6/26*1.25</f>
        <v>730.096153846154</v>
      </c>
      <c r="K6">
        <v>200</v>
      </c>
      <c r="L6">
        <f>SUM(G6:K6)</f>
        <v>4727.65537734615</v>
      </c>
      <c r="M6">
        <f>+F6+L6</f>
        <v>19913.6553773462</v>
      </c>
      <c r="N6">
        <f>M6*5%</f>
        <v>995.682768867308</v>
      </c>
      <c r="P6">
        <f>SUM(M6:N6)+O6</f>
        <v>20909.3381462135</v>
      </c>
      <c r="V6">
        <f>F6+I6+J6</f>
        <v>17181.0899538462</v>
      </c>
      <c r="W6">
        <f>IF((B6+C6)&lt;15000,(B6+C6)*12%,15000*12%)</f>
        <v>1800</v>
      </c>
      <c r="X6">
        <f>V6*0.75%</f>
        <v>128.858174653846</v>
      </c>
      <c r="Y6">
        <v>150</v>
      </c>
      <c r="Z6">
        <f>V6-W6-X6-Y6</f>
        <v>15102.2317791923</v>
      </c>
      <c r="AB6">
        <f>Z6/26</f>
        <v>580.855068430473</v>
      </c>
    </row>
    <row r="7">
      <c r="A7" t="str">
        <v>Jr. Supervisor</v>
      </c>
      <c r="B7">
        <v>6822</v>
      </c>
      <c r="C7">
        <v>8364</v>
      </c>
      <c r="D7">
        <v>0</v>
      </c>
      <c r="E7">
        <v>2900</v>
      </c>
      <c r="F7">
        <f>SUM(B7:E7)</f>
        <v>18086</v>
      </c>
      <c r="G7">
        <f>SUM(B7:C7)*13%</f>
        <v>1974.18</v>
      </c>
      <c r="H7">
        <f>SUM(F7+J7+I7)*3.25%</f>
        <v>657.1666735</v>
      </c>
      <c r="I7">
        <f>(B7+C7)*8.33%</f>
        <v>1264.9938</v>
      </c>
      <c r="J7">
        <f>F7/26*1.25</f>
        <v>869.519230769231</v>
      </c>
      <c r="K7">
        <v>200</v>
      </c>
      <c r="L7">
        <f>SUM(G7:K7)</f>
        <v>4965.85970426923</v>
      </c>
      <c r="M7">
        <f>+F7+L7</f>
        <v>23051.8597042692</v>
      </c>
      <c r="N7">
        <f>M7*5%</f>
        <v>1152.59298521346</v>
      </c>
      <c r="P7">
        <f>SUM(M7:N7)+O7</f>
        <v>24204.4526894827</v>
      </c>
      <c r="V7">
        <f>F7+I7+J7</f>
        <v>20220.5130307692</v>
      </c>
      <c r="W7">
        <f>IF((B7+C7)&lt;15000,(B7+C7)*12%,15000*12%)</f>
        <v>1800</v>
      </c>
      <c r="X7">
        <f>V7*0.75%</f>
        <v>151.653847730769</v>
      </c>
      <c r="Y7">
        <v>200</v>
      </c>
      <c r="Z7">
        <f>V7-W7-X7-Y7</f>
        <v>18068.8591830385</v>
      </c>
      <c r="AB7">
        <f>Z7/26</f>
        <v>694.956122424556</v>
      </c>
    </row>
    <row r="8">
      <c r="A8" t="str">
        <v>Supervisor</v>
      </c>
      <c r="B8">
        <v>8322</v>
      </c>
      <c r="C8">
        <v>10182</v>
      </c>
      <c r="D8">
        <v>0</v>
      </c>
      <c r="E8">
        <v>0</v>
      </c>
      <c r="F8">
        <f>SUM(B8:E8)</f>
        <v>18504</v>
      </c>
      <c r="G8">
        <f>SUM(B8:C8)*13%</f>
        <v>2405.52</v>
      </c>
      <c r="H8">
        <f>SUM(F8+J8+I8)*3.25%</f>
        <v>680.387454</v>
      </c>
      <c r="I8">
        <f>(B8+C8)*8.33%</f>
        <v>1541.3832</v>
      </c>
      <c r="J8">
        <f>F8/26*1.25</f>
        <v>889.615384615385</v>
      </c>
      <c r="K8">
        <v>200</v>
      </c>
      <c r="L8">
        <f>SUM(G8:K8)</f>
        <v>5716.90603861539</v>
      </c>
      <c r="M8">
        <f>+F8+L8</f>
        <v>24220.9060386154</v>
      </c>
      <c r="N8">
        <f>M8*5%</f>
        <v>1211.04530193077</v>
      </c>
      <c r="P8">
        <f>SUM(M8:N8)+O8</f>
        <v>25431.9513405462</v>
      </c>
      <c r="V8">
        <f>F8+I8+J8</f>
        <v>20934.9985846154</v>
      </c>
      <c r="W8">
        <f>IF((B8+C8)&lt;15000,(B8+C8)*12%,15000*12%)</f>
        <v>1800</v>
      </c>
      <c r="X8">
        <f>V8*0.75%</f>
        <v>157.012489384615</v>
      </c>
      <c r="Y8">
        <v>200</v>
      </c>
      <c r="Z8">
        <f>V8-W8-X8-Y8</f>
        <v>18777.9860952308</v>
      </c>
      <c r="AB8">
        <f>Z8/26</f>
        <v>722.230234431953</v>
      </c>
    </row>
    <row r="9">
      <c r="A9" t="str">
        <v>Sr. Supervisor (Skilled)</v>
      </c>
      <c r="B9">
        <v>8322</v>
      </c>
      <c r="C9">
        <v>10182</v>
      </c>
      <c r="D9">
        <v>0</v>
      </c>
      <c r="E9">
        <v>1600</v>
      </c>
      <c r="F9">
        <f>SUM(B9:E9)</f>
        <v>20104</v>
      </c>
      <c r="G9">
        <f>SUM(B9:C9)*13%</f>
        <v>2405.52</v>
      </c>
      <c r="H9">
        <f>SUM(F9+J9+I9)*3.25%</f>
        <v>734.887454</v>
      </c>
      <c r="I9">
        <f>(B9+C9)*8.33%</f>
        <v>1541.3832</v>
      </c>
      <c r="J9">
        <f>F9/26*1.25</f>
        <v>966.538461538462</v>
      </c>
      <c r="K9">
        <v>200</v>
      </c>
      <c r="L9">
        <f>SUM(G9:K9)</f>
        <v>5848.32911553846</v>
      </c>
      <c r="M9">
        <f>+F9+L9</f>
        <v>25952.3291155385</v>
      </c>
      <c r="N9">
        <f>M9*5%</f>
        <v>1297.61645577692</v>
      </c>
      <c r="P9">
        <f>SUM(M9:N9)+O9</f>
        <v>27249.9455713154</v>
      </c>
      <c r="V9">
        <f>F9+I9+J9</f>
        <v>22611.9216615385</v>
      </c>
      <c r="W9">
        <f>IF((B9+C9)&lt;15000,(B9+C9)*12%,15000*12%)</f>
        <v>1800</v>
      </c>
      <c r="X9">
        <f>V9*0.75%</f>
        <v>169.589412461538</v>
      </c>
      <c r="Y9">
        <v>200</v>
      </c>
      <c r="Z9">
        <f>V9-W9-X9-Y9</f>
        <v>20442.3322490769</v>
      </c>
      <c r="AB9">
        <f>Z9/26</f>
        <v>786.24354804142</v>
      </c>
    </row>
    <row r="10">
      <c r="A10" t="str">
        <v>Trainee DEO (Semi Skilled)</v>
      </c>
      <c r="B10">
        <v>6822</v>
      </c>
      <c r="C10">
        <v>8364</v>
      </c>
      <c r="D10">
        <v>0</v>
      </c>
      <c r="E10">
        <v>1000</v>
      </c>
      <c r="F10">
        <f>SUM(B10:E10)</f>
        <v>16186</v>
      </c>
      <c r="G10">
        <f>SUM(B10:C10)*13%</f>
        <v>1974.18</v>
      </c>
      <c r="H10">
        <f>SUM(F10+J10+I10)*3.25%</f>
        <v>592.4479235</v>
      </c>
      <c r="I10">
        <f>(B10+C10)*8.33%</f>
        <v>1264.9938</v>
      </c>
      <c r="J10">
        <f>F10/26*1.25</f>
        <v>778.173076923077</v>
      </c>
      <c r="K10">
        <v>200</v>
      </c>
      <c r="L10">
        <f>SUM(G10:K10)</f>
        <v>4809.79480042308</v>
      </c>
      <c r="M10">
        <f>+F10+L10</f>
        <v>20995.7948004231</v>
      </c>
      <c r="N10">
        <f>M10*5%</f>
        <v>1049.78974002115</v>
      </c>
      <c r="P10">
        <f>SUM(M10:N10)+O10</f>
        <v>22045.5845404442</v>
      </c>
      <c r="V10">
        <f>F10+I10+J10</f>
        <v>18229.1668769231</v>
      </c>
      <c r="W10">
        <f>IF((B10+C10)&lt;15000,(B10+C10)*12%,15000*12%)</f>
        <v>1800</v>
      </c>
      <c r="X10">
        <f>V10*0.75%</f>
        <v>136.718751576923</v>
      </c>
      <c r="Y10">
        <v>150</v>
      </c>
      <c r="Z10">
        <f>V10-W10-X10-Y10</f>
        <v>16142.4481253462</v>
      </c>
      <c r="AB10">
        <f>Z10/26</f>
        <v>620.863389436391</v>
      </c>
    </row>
    <row r="11">
      <c r="A11" t="str">
        <v>Jr. DEO</v>
      </c>
      <c r="B11">
        <v>8322</v>
      </c>
      <c r="C11">
        <v>10182</v>
      </c>
      <c r="D11">
        <v>0</v>
      </c>
      <c r="E11">
        <v>0</v>
      </c>
      <c r="F11">
        <f>SUM(B11:E11)</f>
        <v>18504</v>
      </c>
      <c r="G11">
        <f>SUM(B11:C11)*13%</f>
        <v>2405.52</v>
      </c>
      <c r="H11">
        <f>SUM(F11+J11+I11)*3.25%</f>
        <v>680.387454</v>
      </c>
      <c r="I11">
        <f>(B11+C11)*8.33%</f>
        <v>1541.3832</v>
      </c>
      <c r="J11">
        <f>F11/26*1.25</f>
        <v>889.615384615385</v>
      </c>
      <c r="K11">
        <v>200</v>
      </c>
      <c r="L11">
        <f>SUM(G11:K11)</f>
        <v>5716.90603861539</v>
      </c>
      <c r="M11">
        <f>+F11+L11</f>
        <v>24220.9060386154</v>
      </c>
      <c r="N11">
        <f>M11*5%</f>
        <v>1211.04530193077</v>
      </c>
      <c r="P11">
        <f>SUM(M11:N11)+O11</f>
        <v>25431.9513405462</v>
      </c>
      <c r="V11">
        <f>F11+I11+J11</f>
        <v>20934.9985846154</v>
      </c>
      <c r="W11">
        <f>IF((B11+C11)&lt;15000,(B11+C11)*12%,15000*12%)</f>
        <v>1800</v>
      </c>
      <c r="X11">
        <f>V11*0.75%</f>
        <v>157.012489384615</v>
      </c>
      <c r="Y11">
        <v>150</v>
      </c>
      <c r="Z11">
        <f>V11-W11-X11-Y11</f>
        <v>18827.9860952308</v>
      </c>
      <c r="AB11">
        <f>Z11/26</f>
        <v>724.15331135503</v>
      </c>
    </row>
    <row r="12">
      <c r="A12" t="str">
        <v>DEO</v>
      </c>
      <c r="B12">
        <v>8322</v>
      </c>
      <c r="C12">
        <v>10182</v>
      </c>
      <c r="D12">
        <v>0</v>
      </c>
      <c r="E12">
        <v>1600</v>
      </c>
      <c r="F12">
        <f>SUM(B12:E12)</f>
        <v>20104</v>
      </c>
      <c r="G12">
        <f>SUM(B12:C12)*13%</f>
        <v>2405.52</v>
      </c>
      <c r="H12">
        <f>SUM(F12+J12+I12)*3.25%</f>
        <v>734.887454</v>
      </c>
      <c r="I12">
        <f>(B12+C12)*8.33%</f>
        <v>1541.3832</v>
      </c>
      <c r="J12">
        <f>F12/26*1.25</f>
        <v>966.538461538462</v>
      </c>
      <c r="K12">
        <v>200</v>
      </c>
      <c r="L12">
        <f>SUM(G12:K12)</f>
        <v>5848.32911553846</v>
      </c>
      <c r="M12">
        <f>+F12+L12</f>
        <v>25952.3291155385</v>
      </c>
      <c r="N12">
        <f>M12*5%</f>
        <v>1297.61645577692</v>
      </c>
      <c r="P12">
        <f>SUM(M12:N12)+O12</f>
        <v>27249.9455713154</v>
      </c>
      <c r="V12">
        <f>F12+I12+J12</f>
        <v>22611.9216615385</v>
      </c>
      <c r="W12">
        <f>IF((B12+C12)&lt;15000,(B12+C12)*12%,15000*12%)</f>
        <v>1800</v>
      </c>
      <c r="X12">
        <f>V12*0.75%</f>
        <v>169.589412461538</v>
      </c>
      <c r="Y12">
        <v>200</v>
      </c>
      <c r="Z12">
        <f>V12-W12-X12-Y12</f>
        <v>20442.3322490769</v>
      </c>
      <c r="AB12">
        <f>Z12/26</f>
        <v>786.24354804142</v>
      </c>
    </row>
    <row r="13" xml:space="preserve">
      <c r="A13" t="str" xml:space="preserve">
        <v xml:space="preserve">Sr. DEO
(Skilled)</v>
      </c>
      <c r="B13">
        <v>8322</v>
      </c>
      <c r="C13">
        <v>10182</v>
      </c>
      <c r="D13">
        <v>0</v>
      </c>
      <c r="E13">
        <v>2400</v>
      </c>
      <c r="F13">
        <f>SUM(B13:E13)</f>
        <v>20904</v>
      </c>
      <c r="G13">
        <f>SUM(B13:C13)*13%</f>
        <v>2405.52</v>
      </c>
      <c r="H13">
        <f>SUM(F13+J13+I13)*3.25%</f>
        <v>762.137454</v>
      </c>
      <c r="I13">
        <f>(B13+C13)*8.33%</f>
        <v>1541.3832</v>
      </c>
      <c r="J13">
        <f>F13/26*1.25</f>
        <v>1005</v>
      </c>
      <c r="K13">
        <v>200</v>
      </c>
      <c r="L13">
        <f>SUM(G13:K13)</f>
        <v>5914.040654</v>
      </c>
      <c r="M13">
        <f>+F13+L13</f>
        <v>26818.040654</v>
      </c>
      <c r="N13">
        <f>M13*5%</f>
        <v>1340.9020327</v>
      </c>
      <c r="P13">
        <f>SUM(M13:N13)+O13</f>
        <v>28158.9426867</v>
      </c>
      <c r="V13">
        <f>F13+I13+J13</f>
        <v>23450.3832</v>
      </c>
      <c r="W13">
        <f>IF((B13+C13)&lt;15000,(B13+C13)*12%,15000*12%)</f>
        <v>1800</v>
      </c>
      <c r="X13">
        <f>V13*0.75%</f>
        <v>175.877874</v>
      </c>
      <c r="Y13">
        <v>200</v>
      </c>
      <c r="Z13">
        <f>V13-W13-X13-Y13</f>
        <v>21274.505326</v>
      </c>
      <c r="AB13">
        <f>Z13/26</f>
        <v>818.250204846154</v>
      </c>
    </row>
  </sheetData>
  <pageMargins left="0.7" right="0.7" top="0.75" bottom="0.75" header="0.3" footer="0.3"/>
  <ignoredErrors>
    <ignoredError numberStoredAsText="1" sqref="A1:AB163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Data>
    <row r="1" xml:space="preserve">
      <c r="A1" t="str">
        <v>S.No</v>
      </c>
      <c r="B1" t="str">
        <v>E.No</v>
      </c>
      <c r="C1" t="str">
        <v>Name</v>
      </c>
      <c r="D1" t="str">
        <v>DOJ</v>
      </c>
      <c r="E1" t="str">
        <v>Category</v>
      </c>
      <c r="F1" t="str">
        <v>Fixed Basic</v>
      </c>
      <c r="G1" t="str">
        <v xml:space="preserve">Fixed VDA </v>
      </c>
      <c r="H1" t="str">
        <v>HRA</v>
      </c>
      <c r="I1" t="str">
        <v>Gross</v>
      </c>
      <c r="J1" t="str">
        <v xml:space="preserve">Uniform </v>
      </c>
      <c r="K1" t="str">
        <v>Per day Cost</v>
      </c>
      <c r="L1" t="str">
        <v>Fixed Leave Wages</v>
      </c>
      <c r="M1" t="str">
        <v xml:space="preserve">Working days </v>
      </c>
      <c r="N1" t="str">
        <v>Man Days</v>
      </c>
      <c r="O1" t="str">
        <v>Allowance Days</v>
      </c>
      <c r="P1" t="str">
        <v>Gross</v>
      </c>
      <c r="Q1" t="str">
        <v xml:space="preserve">Basic  </v>
      </c>
      <c r="R1" t="str">
        <v>VDA</v>
      </c>
      <c r="S1" t="str">
        <v>HRA</v>
      </c>
      <c r="T1" t="str">
        <v>Leave Wages</v>
      </c>
      <c r="U1" t="str">
        <v>Bonus</v>
      </c>
      <c r="V1" t="str">
        <v xml:space="preserve">T.A.Allowance </v>
      </c>
      <c r="W1" t="str">
        <v>Total Earn</v>
      </c>
      <c r="X1" t="str">
        <v>Employee PF 12%</v>
      </c>
      <c r="Y1" t="str">
        <v>Employee ESI 0.75%</v>
      </c>
      <c r="Z1" t="str">
        <v>PT</v>
      </c>
      <c r="AA1" t="str">
        <v>LWF</v>
      </c>
      <c r="AB1" t="str">
        <v>Advances</v>
      </c>
      <c r="AC1" t="str">
        <v>Canteen Deduction</v>
      </c>
      <c r="AD1" t="str" xml:space="preserve">
        <v xml:space="preserve">Other 
Deduction</v>
      </c>
      <c r="AE1" t="str">
        <v xml:space="preserve">Uniform </v>
      </c>
      <c r="AF1" t="str">
        <v>Total Deduc</v>
      </c>
      <c r="AG1" t="str">
        <v>Net Pay</v>
      </c>
      <c r="AH1" t="str">
        <v>Emplr PF 13%</v>
      </c>
      <c r="AI1" t="str">
        <v>Emplr ESI 3.25%</v>
      </c>
      <c r="AJ1" t="str">
        <v>Empr LWF</v>
      </c>
      <c r="AK1" t="str">
        <v>Uniform</v>
      </c>
      <c r="AL1" t="str">
        <v xml:space="preserve">Total Cost </v>
      </c>
      <c r="AM1" t="str">
        <v>Service Charge 5 %</v>
      </c>
      <c r="AN1" t="str">
        <v>Cost</v>
      </c>
      <c r="AO1" t="str">
        <v xml:space="preserve">New Bank Accounts </v>
      </c>
      <c r="AP1" t="str">
        <v xml:space="preserve">IFSC code </v>
      </c>
      <c r="AQ1" t="str">
        <v xml:space="preserve">Salary Process </v>
      </c>
    </row>
    <row r="2">
      <c r="A2">
        <v>1</v>
      </c>
      <c r="B2">
        <f>VLOOKUP(A2,'Sep-Attendance'!A:H,2,0)</f>
        <v>907393</v>
      </c>
      <c r="C2" t="str">
        <f>VLOOKUP(A2,'Sep-Attendance'!A:H,3,0)</f>
        <v>CHANDRAMOHAN</v>
      </c>
      <c r="D2">
        <v>45809</v>
      </c>
      <c r="E2" t="str">
        <f>VLOOKUP(A2,'Sep-Attendance'!A:H,5,0)</f>
        <v>Casual Labour</v>
      </c>
      <c r="F2">
        <f>VLOOKUP($E2,'Cost Break Up new'!$A:$M,2,FALSE)</f>
        <v>5822</v>
      </c>
      <c r="G2">
        <f>VLOOKUP($E2,'Cost Break Up new'!$A:$M,3,FALSE)</f>
        <v>7117</v>
      </c>
      <c r="H2">
        <f>VLOOKUP($E2,'Cost Break Up new'!$A:$M,5,FALSE)</f>
        <v>0</v>
      </c>
      <c r="I2">
        <f>SUM(F2:H2)</f>
        <v>12939</v>
      </c>
      <c r="J2">
        <f>VLOOKUP($E2,'Cost Break Up new'!$A:$M,11,FALSE)</f>
        <v>200</v>
      </c>
      <c r="K2">
        <f>I2/26</f>
        <v>497.653846153846</v>
      </c>
      <c r="L2">
        <f>(I2/26)*1.25</f>
        <v>622.067307692308</v>
      </c>
      <c r="M2">
        <v>26</v>
      </c>
      <c r="N2">
        <f>VLOOKUP(B2,'Rev Claim'!B2:H43,7,0)</f>
        <v>32.5</v>
      </c>
      <c r="O2">
        <f>VLOOKUP(B2,'Rev Claim'!B2:I43,8,0)</f>
        <v>24</v>
      </c>
      <c r="P2">
        <f>I2/M2*N2</f>
        <v>16173.75</v>
      </c>
      <c r="Q2">
        <f>F2/M2*N2</f>
        <v>7277.5</v>
      </c>
      <c r="R2">
        <f>G2/M2*N2</f>
        <v>8896.25</v>
      </c>
      <c r="S2">
        <f>H2/M2*N2</f>
        <v>0</v>
      </c>
      <c r="T2">
        <f>L2/M2*N2</f>
        <v>777.584134615385</v>
      </c>
      <c r="U2">
        <f>(Q2+R2)*8.33%</f>
        <v>1347.273375</v>
      </c>
      <c r="V2">
        <f>1000/26*O2</f>
        <v>923.076923076923</v>
      </c>
      <c r="W2">
        <f>SUM(Q2:V2)</f>
        <v>19221.6844326923</v>
      </c>
      <c r="X2">
        <f>SUM(Q2:R2)*12%</f>
        <v>1940.85</v>
      </c>
      <c r="Y2">
        <f>SUM(Q2:U2)*0.75%</f>
        <v>137.239556322115</v>
      </c>
      <c r="Z2">
        <f>IF(AND(W2&gt;15000,W2&lt;20000),150,IF(W2&gt;=20000,200,0))</f>
        <v>150</v>
      </c>
      <c r="AA2">
        <v>0</v>
      </c>
      <c r="AC2">
        <v>250</v>
      </c>
      <c r="AF2">
        <f>SUM(X2:AD2)</f>
        <v>2478.08955632212</v>
      </c>
      <c r="AG2">
        <f>(W2+AE2)-AF2</f>
        <v>16743.5948763702</v>
      </c>
      <c r="AH2">
        <f>SUM(Q2:R2)*13%</f>
        <v>2102.5875</v>
      </c>
      <c r="AI2">
        <f>SUM(Q2:U2)*3.25%</f>
        <v>594.7047440625</v>
      </c>
      <c r="AJ2">
        <v>0</v>
      </c>
      <c r="AK2">
        <f>J2/26*N2</f>
        <v>250</v>
      </c>
      <c r="AL2">
        <f>W2+AH2+AI2+AJ2+AK2</f>
        <v>22168.9766767548</v>
      </c>
      <c r="AM2">
        <f>(AL2-V2-AJ2)*5%</f>
        <v>1062.29498768389</v>
      </c>
      <c r="AN2">
        <f>ROUND(SUM(AL2:AM2),0)</f>
        <v>23231</v>
      </c>
      <c r="AO2" t="str">
        <v>39906001327</v>
      </c>
      <c r="AP2" t="str">
        <v>SBIN0005688</v>
      </c>
    </row>
  </sheetData>
  <ignoredErrors>
    <ignoredError numberStoredAsText="1" sqref="A1:A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 Claim</vt:lpstr>
      <vt:lpstr>Cost Break Up new</vt:lpstr>
      <vt:lpstr>Rev Salary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