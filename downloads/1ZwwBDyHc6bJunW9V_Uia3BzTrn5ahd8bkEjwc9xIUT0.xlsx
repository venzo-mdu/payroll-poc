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EmpDetails-IW2UVB" sheetId="2" r:id="rId5"/>
  </sheets>
  <definedNames/>
  <calcPr/>
</workbook>
</file>

<file path=xl/sharedStrings.xml><?xml version="1.0" encoding="utf-8"?>
<sst xmlns="http://schemas.openxmlformats.org/spreadsheetml/2006/main" count="170" uniqueCount="99">
  <si>
    <t>S No</t>
  </si>
  <si>
    <t>Emp No</t>
  </si>
  <si>
    <t>Name</t>
  </si>
  <si>
    <t>DOJ</t>
  </si>
  <si>
    <t>Category</t>
  </si>
  <si>
    <t>Fixed Basic</t>
  </si>
  <si>
    <t xml:space="preserve">Fixed VDA </t>
  </si>
  <si>
    <t>HRA</t>
  </si>
  <si>
    <t>Gross</t>
  </si>
  <si>
    <t>Uniform</t>
  </si>
  <si>
    <t>Per day Cost</t>
  </si>
  <si>
    <t>Fixed Leave Wages</t>
  </si>
  <si>
    <t>Working days</t>
  </si>
  <si>
    <t xml:space="preserve">Man Days
</t>
  </si>
  <si>
    <t>Allowance Days</t>
  </si>
  <si>
    <t>Basic</t>
  </si>
  <si>
    <t>VDA</t>
  </si>
  <si>
    <t>HRA-1</t>
  </si>
  <si>
    <t xml:space="preserve">Leave Wages
</t>
  </si>
  <si>
    <t>Bonus</t>
  </si>
  <si>
    <t>T.A.Allowance</t>
  </si>
  <si>
    <t xml:space="preserve">Total Earn
</t>
  </si>
  <si>
    <t xml:space="preserve">Employee PF 12%
</t>
  </si>
  <si>
    <t xml:space="preserve">Employee ESI 0.75%
</t>
  </si>
  <si>
    <t xml:space="preserve">PT
</t>
  </si>
  <si>
    <t>LWF</t>
  </si>
  <si>
    <t>Advances</t>
  </si>
  <si>
    <t>Canteen Deduction</t>
  </si>
  <si>
    <t>Other Deduction</t>
  </si>
  <si>
    <t>Total Deduc</t>
  </si>
  <si>
    <t>Net Pay</t>
  </si>
  <si>
    <t>Emplr PF 13%</t>
  </si>
  <si>
    <t>Emplr ESI 3.25%</t>
  </si>
  <si>
    <t>Empr LWF</t>
  </si>
  <si>
    <t xml:space="preserve">Total Cost </t>
  </si>
  <si>
    <t>Service Charge 5 %</t>
  </si>
  <si>
    <t>Cost</t>
  </si>
  <si>
    <t>New Bank Accounts</t>
  </si>
  <si>
    <t xml:space="preserve">IFSC code </t>
  </si>
  <si>
    <t>Salary Process</t>
  </si>
  <si>
    <t>Fixed VDA</t>
  </si>
  <si>
    <t>Man Days</t>
  </si>
  <si>
    <t>Leave Wages</t>
  </si>
  <si>
    <t>T.A. Allowance</t>
  </si>
  <si>
    <t>Total Earn</t>
  </si>
  <si>
    <t>Employee PF 12%</t>
  </si>
  <si>
    <t>Employee ESI 0.75%</t>
  </si>
  <si>
    <t>PT</t>
  </si>
  <si>
    <t>Total Cost</t>
  </si>
  <si>
    <t>IFSC code</t>
  </si>
  <si>
    <t>CHANDRAMOHAN</t>
  </si>
  <si>
    <t>Casual Labour</t>
  </si>
  <si>
    <t>K VIJAY KRISHNA KUMAR</t>
  </si>
  <si>
    <t>Jr. Supervisor</t>
  </si>
  <si>
    <t>Himanshu Mallik</t>
  </si>
  <si>
    <t>B Venkataiah Chinnabba</t>
  </si>
  <si>
    <t>Tr. Supervisor</t>
  </si>
  <si>
    <t>K Dorai</t>
  </si>
  <si>
    <t>Nagan P</t>
  </si>
  <si>
    <t>G SURESH</t>
  </si>
  <si>
    <t>SANTU KUMAR</t>
  </si>
  <si>
    <t>RAUSHAN KUMAR</t>
  </si>
  <si>
    <t>S KIRAN KUMAR</t>
  </si>
  <si>
    <t>BAMBAM THAKUR</t>
  </si>
  <si>
    <t>Sandip Kumar</t>
  </si>
  <si>
    <t>Kali Paswan</t>
  </si>
  <si>
    <t>Etwari Murmu</t>
  </si>
  <si>
    <t>Pradeep Mahto</t>
  </si>
  <si>
    <t>Akalu Hembram</t>
  </si>
  <si>
    <t>Rajesh Kumar Mahto</t>
  </si>
  <si>
    <t>Mahesh Kumar Tuda</t>
  </si>
  <si>
    <t>Hari Tudu</t>
  </si>
  <si>
    <t>M Janardana</t>
  </si>
  <si>
    <t>Rupesh Kumar Thakur</t>
  </si>
  <si>
    <t>Ranuj Pegu</t>
  </si>
  <si>
    <t>Pankaj Kumar Mahto</t>
  </si>
  <si>
    <t>Vikram Soren</t>
  </si>
  <si>
    <t>Chandan Kumar</t>
  </si>
  <si>
    <t>Bittu Sona</t>
  </si>
  <si>
    <t>Rajkishor Hembram</t>
  </si>
  <si>
    <t>Rajkumar Mahto</t>
  </si>
  <si>
    <t>Anand Kumar Manjhi</t>
  </si>
  <si>
    <t>Dhiraj Kumar</t>
  </si>
  <si>
    <t>Raju Mahto</t>
  </si>
  <si>
    <t>Mantu Kumar Thakur</t>
  </si>
  <si>
    <t>Niklas Mondol</t>
  </si>
  <si>
    <t>S Mustafa</t>
  </si>
  <si>
    <t>KUPPAMPATI POLAIAH</t>
  </si>
  <si>
    <t>Sr. MHE</t>
  </si>
  <si>
    <t>R Sankar</t>
  </si>
  <si>
    <t>Balaji</t>
  </si>
  <si>
    <t>S Karthik</t>
  </si>
  <si>
    <t>DEO</t>
  </si>
  <si>
    <t>K Munaswamy</t>
  </si>
  <si>
    <t>Jr. DEO</t>
  </si>
  <si>
    <t>C Gowtham</t>
  </si>
  <si>
    <t>V Jayaprakash</t>
  </si>
  <si>
    <t>Supervisor</t>
  </si>
  <si>
    <t>J Muni Prathap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</si>
</sst>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5"/>
    <col customWidth="1" min="17" max="17" width="10.63"/>
    <col customWidth="1" min="18" max="18" width="9.63"/>
    <col customWidth="1" min="21" max="21" width="20.0"/>
    <col customWidth="1" min="24" max="24" width="15.38"/>
    <col customWidth="1" min="25" max="25" width="21.63"/>
    <col customWidth="1" min="26" max="26" width="17.25"/>
    <col customWidth="1" min="27" max="27" width="11.13"/>
    <col customWidth="1" min="28" max="28" width="8.13"/>
    <col customWidth="1" min="29" max="29" width="17.88"/>
    <col customWidth="1" min="30" max="30" width="16.25"/>
    <col customWidth="1" min="31" max="31" width="8.13"/>
    <col customWidth="1" min="32" max="32" width="16.38"/>
    <col customWidth="1" min="33" max="33" width="8.13"/>
    <col customWidth="1" min="34" max="35" width="15.5"/>
    <col customWidth="1" min="36" max="36" width="14.13"/>
    <col customWidth="1" min="37" max="37" width="17.88"/>
    <col customWidth="1" min="38" max="38" width="14.38"/>
    <col customWidth="1" min="39" max="39" width="12.63"/>
    <col customWidth="1" min="40" max="40" width="14.5"/>
    <col customWidth="1" min="41" max="41" width="18.5"/>
    <col customWidth="1" min="42" max="42" width="9.38"/>
    <col customWidth="1" min="43" max="43" width="15.38"/>
    <col customWidth="1" min="44" max="45" width="8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8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9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9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/>
      <c r="AS1" s="3"/>
    </row>
    <row r="2">
      <c r="I2" s="4">
        <f t="shared" ref="I2:I42" si="1">ROUND(SUM(F2:H2),0)
</f>
        <v>0</v>
      </c>
      <c r="J2" s="3">
        <v>200.0</v>
      </c>
      <c r="K2" s="4">
        <f t="shared" ref="K2:K42" si="2">ROUND(I2/26,0)
</f>
        <v>0</v>
      </c>
      <c r="L2" s="4">
        <f t="shared" ref="L2:L42" si="3">ROUND((I2/26)*1.25, 0)</f>
        <v>0</v>
      </c>
      <c r="M2" s="3">
        <v>26.0</v>
      </c>
      <c r="P2" s="4">
        <f t="shared" ref="P2:P42" si="4">ROUND(I2/M2*N2,0)
</f>
        <v>0</v>
      </c>
      <c r="Q2" s="4">
        <f t="shared" ref="Q2:Q42" si="5">ROUND(F2/M2*N2,0)
</f>
        <v>0</v>
      </c>
      <c r="R2" s="4">
        <f t="shared" ref="R2:R42" si="6">ROUND(G2/M2*N2,0)
</f>
        <v>0</v>
      </c>
      <c r="S2" s="4">
        <f t="shared" ref="S2:S42" si="7">ROUND(H2/M2*N2,0)
</f>
        <v>0</v>
      </c>
      <c r="T2" s="4">
        <f t="shared" ref="T2:T42" si="8">ROUND(L2/M2*N2,0)
</f>
        <v>0</v>
      </c>
      <c r="U2" s="3">
        <f t="shared" ref="U2:U42" si="9">ROUND((Q2+R2)*8.33%,0)</f>
        <v>0</v>
      </c>
      <c r="V2" s="4">
        <f t="shared" ref="V2:V42" si="10">ROUND(1000/26*O2,0)
</f>
        <v>0</v>
      </c>
      <c r="W2" s="4">
        <f t="shared" ref="W2:W42" si="11">SUM(Q2:V2)
</f>
        <v>0</v>
      </c>
      <c r="X2" s="4">
        <f t="shared" ref="X2:X42" si="12">ROUND(SUM(Q2:R2)*12%,0)</f>
        <v>0</v>
      </c>
      <c r="Y2" s="4">
        <f t="shared" ref="Y2:Y42" si="13">ROUND(SUM(Q2:U2)*0.75%,0)</f>
        <v>0</v>
      </c>
      <c r="Z2" s="4">
        <f t="shared" ref="Z2:Z42" si="14">ROUND(IF(AND(W2&gt;15000,W2&lt;20000),150,IF(W2&gt;=20000,200,0)),0)
</f>
        <v>0</v>
      </c>
      <c r="AA2" s="3">
        <v>0.0</v>
      </c>
      <c r="AC2" s="3">
        <v>250.0</v>
      </c>
      <c r="AF2" s="4">
        <f t="shared" ref="AF2:AF42" si="15">SUM(X2:AD2)</f>
        <v>250</v>
      </c>
      <c r="AG2" s="4">
        <f t="shared" ref="AG2:AG42" si="16">ROUND((W2+AE2)-AF2,0)
</f>
        <v>-250</v>
      </c>
      <c r="AH2" s="4">
        <f t="shared" ref="AH2:AH42" si="17">ROUND(SUM(Q2:R2)*13%,0)
</f>
        <v>0</v>
      </c>
      <c r="AI2" s="4">
        <f t="shared" ref="AI2:AI42" si="18">ROUND(SUM(Q2:U2)*3.25%,0)
</f>
        <v>0</v>
      </c>
      <c r="AJ2" s="3">
        <v>0.0</v>
      </c>
      <c r="AK2" s="4">
        <f t="shared" ref="AK2:AK42" si="19">ROUND(J2/26*N2,0)
</f>
        <v>0</v>
      </c>
      <c r="AL2" s="4">
        <f t="shared" ref="AL2:AL42" si="20">W2+AH2+AI2+AJ2+AK2
</f>
        <v>0</v>
      </c>
      <c r="AM2" s="4">
        <f t="shared" ref="AM2:AM42" si="21">ROUND((AL2-V2-AJ2)*5%,0)
</f>
        <v>0</v>
      </c>
      <c r="AN2" s="4">
        <f t="shared" ref="AN2:AN42" si="22">SUM(AL2:AM2)
</f>
        <v>0</v>
      </c>
    </row>
    <row r="3">
      <c r="I3" s="4">
        <f t="shared" si="1"/>
        <v>0</v>
      </c>
      <c r="J3" s="3">
        <v>200.0</v>
      </c>
      <c r="K3" s="4">
        <f t="shared" si="2"/>
        <v>0</v>
      </c>
      <c r="L3" s="4">
        <f t="shared" si="3"/>
        <v>0</v>
      </c>
      <c r="M3" s="3">
        <v>26.0</v>
      </c>
      <c r="P3" s="4">
        <f t="shared" si="4"/>
        <v>0</v>
      </c>
      <c r="Q3" s="4">
        <f t="shared" si="5"/>
        <v>0</v>
      </c>
      <c r="R3" s="4">
        <f t="shared" si="6"/>
        <v>0</v>
      </c>
      <c r="S3" s="4">
        <f t="shared" si="7"/>
        <v>0</v>
      </c>
      <c r="T3" s="4">
        <f t="shared" si="8"/>
        <v>0</v>
      </c>
      <c r="U3" s="3">
        <f t="shared" si="9"/>
        <v>0</v>
      </c>
      <c r="V3" s="4">
        <f t="shared" si="10"/>
        <v>0</v>
      </c>
      <c r="W3" s="4">
        <f t="shared" si="11"/>
        <v>0</v>
      </c>
      <c r="X3" s="4">
        <f t="shared" si="12"/>
        <v>0</v>
      </c>
      <c r="Y3" s="4">
        <f t="shared" si="13"/>
        <v>0</v>
      </c>
      <c r="Z3" s="4">
        <f t="shared" si="14"/>
        <v>0</v>
      </c>
      <c r="AA3" s="3">
        <v>0.0</v>
      </c>
      <c r="AC3" s="3">
        <v>250.0</v>
      </c>
      <c r="AF3" s="4">
        <f t="shared" si="15"/>
        <v>250</v>
      </c>
      <c r="AG3" s="4">
        <f t="shared" si="16"/>
        <v>-250</v>
      </c>
      <c r="AH3" s="4">
        <f t="shared" si="17"/>
        <v>0</v>
      </c>
      <c r="AI3" s="4">
        <f t="shared" si="18"/>
        <v>0</v>
      </c>
      <c r="AK3" s="4">
        <f t="shared" si="19"/>
        <v>0</v>
      </c>
      <c r="AL3" s="4">
        <f t="shared" si="20"/>
        <v>0</v>
      </c>
      <c r="AM3" s="4">
        <f t="shared" si="21"/>
        <v>0</v>
      </c>
      <c r="AN3" s="4">
        <f t="shared" si="22"/>
        <v>0</v>
      </c>
    </row>
    <row r="4">
      <c r="I4" s="4">
        <f t="shared" si="1"/>
        <v>0</v>
      </c>
      <c r="J4" s="3">
        <v>200.0</v>
      </c>
      <c r="K4" s="4">
        <f t="shared" si="2"/>
        <v>0</v>
      </c>
      <c r="L4" s="4">
        <f t="shared" si="3"/>
        <v>0</v>
      </c>
      <c r="M4" s="3">
        <v>26.0</v>
      </c>
      <c r="P4" s="4">
        <f t="shared" si="4"/>
        <v>0</v>
      </c>
      <c r="Q4" s="4">
        <f t="shared" si="5"/>
        <v>0</v>
      </c>
      <c r="R4" s="4">
        <f t="shared" si="6"/>
        <v>0</v>
      </c>
      <c r="S4" s="4">
        <f t="shared" si="7"/>
        <v>0</v>
      </c>
      <c r="T4" s="4">
        <f t="shared" si="8"/>
        <v>0</v>
      </c>
      <c r="U4" s="3">
        <f t="shared" si="9"/>
        <v>0</v>
      </c>
      <c r="V4" s="4">
        <f t="shared" si="10"/>
        <v>0</v>
      </c>
      <c r="W4" s="4">
        <f t="shared" si="11"/>
        <v>0</v>
      </c>
      <c r="X4" s="4">
        <f t="shared" si="12"/>
        <v>0</v>
      </c>
      <c r="Y4" s="4">
        <f t="shared" si="13"/>
        <v>0</v>
      </c>
      <c r="Z4" s="4">
        <f t="shared" si="14"/>
        <v>0</v>
      </c>
      <c r="AA4" s="3">
        <v>0.0</v>
      </c>
      <c r="AC4" s="3">
        <v>250.0</v>
      </c>
      <c r="AF4" s="4">
        <f t="shared" si="15"/>
        <v>250</v>
      </c>
      <c r="AG4" s="4">
        <f t="shared" si="16"/>
        <v>-250</v>
      </c>
      <c r="AH4" s="4">
        <f t="shared" si="17"/>
        <v>0</v>
      </c>
      <c r="AI4" s="4">
        <f t="shared" si="18"/>
        <v>0</v>
      </c>
      <c r="AK4" s="4">
        <f t="shared" si="19"/>
        <v>0</v>
      </c>
      <c r="AL4" s="4">
        <f t="shared" si="20"/>
        <v>0</v>
      </c>
      <c r="AM4" s="4">
        <f t="shared" si="21"/>
        <v>0</v>
      </c>
      <c r="AN4" s="4">
        <f t="shared" si="22"/>
        <v>0</v>
      </c>
    </row>
    <row r="5">
      <c r="I5" s="4">
        <f t="shared" si="1"/>
        <v>0</v>
      </c>
      <c r="J5" s="3">
        <v>200.0</v>
      </c>
      <c r="K5" s="4">
        <f t="shared" si="2"/>
        <v>0</v>
      </c>
      <c r="L5" s="4">
        <f t="shared" si="3"/>
        <v>0</v>
      </c>
      <c r="M5" s="3">
        <v>26.0</v>
      </c>
      <c r="P5" s="4">
        <f t="shared" si="4"/>
        <v>0</v>
      </c>
      <c r="Q5" s="4">
        <f t="shared" si="5"/>
        <v>0</v>
      </c>
      <c r="R5" s="4">
        <f t="shared" si="6"/>
        <v>0</v>
      </c>
      <c r="S5" s="4">
        <f t="shared" si="7"/>
        <v>0</v>
      </c>
      <c r="T5" s="4">
        <f t="shared" si="8"/>
        <v>0</v>
      </c>
      <c r="U5" s="3">
        <f t="shared" si="9"/>
        <v>0</v>
      </c>
      <c r="V5" s="4">
        <f t="shared" si="10"/>
        <v>0</v>
      </c>
      <c r="W5" s="4">
        <f t="shared" si="11"/>
        <v>0</v>
      </c>
      <c r="X5" s="4">
        <f t="shared" si="12"/>
        <v>0</v>
      </c>
      <c r="Y5" s="4">
        <f t="shared" si="13"/>
        <v>0</v>
      </c>
      <c r="Z5" s="4">
        <f t="shared" si="14"/>
        <v>0</v>
      </c>
      <c r="AA5" s="3">
        <v>0.0</v>
      </c>
      <c r="AC5" s="3">
        <v>250.0</v>
      </c>
      <c r="AF5" s="4">
        <f t="shared" si="15"/>
        <v>250</v>
      </c>
      <c r="AG5" s="4">
        <f t="shared" si="16"/>
        <v>-250</v>
      </c>
      <c r="AH5" s="4">
        <f t="shared" si="17"/>
        <v>0</v>
      </c>
      <c r="AI5" s="4">
        <f t="shared" si="18"/>
        <v>0</v>
      </c>
      <c r="AK5" s="4">
        <f t="shared" si="19"/>
        <v>0</v>
      </c>
      <c r="AL5" s="4">
        <f t="shared" si="20"/>
        <v>0</v>
      </c>
      <c r="AM5" s="4">
        <f t="shared" si="21"/>
        <v>0</v>
      </c>
      <c r="AN5" s="4">
        <f t="shared" si="22"/>
        <v>0</v>
      </c>
    </row>
    <row r="6">
      <c r="I6" s="4">
        <f t="shared" si="1"/>
        <v>0</v>
      </c>
      <c r="J6" s="3">
        <v>200.0</v>
      </c>
      <c r="K6" s="4">
        <f t="shared" si="2"/>
        <v>0</v>
      </c>
      <c r="L6" s="4">
        <f t="shared" si="3"/>
        <v>0</v>
      </c>
      <c r="M6" s="3">
        <v>26.0</v>
      </c>
      <c r="P6" s="4">
        <f t="shared" si="4"/>
        <v>0</v>
      </c>
      <c r="Q6" s="4">
        <f t="shared" si="5"/>
        <v>0</v>
      </c>
      <c r="R6" s="4">
        <f t="shared" si="6"/>
        <v>0</v>
      </c>
      <c r="S6" s="4">
        <f t="shared" si="7"/>
        <v>0</v>
      </c>
      <c r="T6" s="4">
        <f t="shared" si="8"/>
        <v>0</v>
      </c>
      <c r="U6" s="3">
        <f t="shared" si="9"/>
        <v>0</v>
      </c>
      <c r="V6" s="4">
        <f t="shared" si="10"/>
        <v>0</v>
      </c>
      <c r="W6" s="4">
        <f t="shared" si="11"/>
        <v>0</v>
      </c>
      <c r="X6" s="4">
        <f t="shared" si="12"/>
        <v>0</v>
      </c>
      <c r="Y6" s="4">
        <f t="shared" si="13"/>
        <v>0</v>
      </c>
      <c r="Z6" s="4">
        <f t="shared" si="14"/>
        <v>0</v>
      </c>
      <c r="AA6" s="3">
        <v>0.0</v>
      </c>
      <c r="AC6" s="3">
        <v>250.0</v>
      </c>
      <c r="AF6" s="4">
        <f t="shared" si="15"/>
        <v>250</v>
      </c>
      <c r="AG6" s="4">
        <f t="shared" si="16"/>
        <v>-250</v>
      </c>
      <c r="AH6" s="4">
        <f t="shared" si="17"/>
        <v>0</v>
      </c>
      <c r="AI6" s="4">
        <f t="shared" si="18"/>
        <v>0</v>
      </c>
      <c r="AK6" s="4">
        <f t="shared" si="19"/>
        <v>0</v>
      </c>
      <c r="AL6" s="4">
        <f t="shared" si="20"/>
        <v>0</v>
      </c>
      <c r="AM6" s="4">
        <f t="shared" si="21"/>
        <v>0</v>
      </c>
      <c r="AN6" s="4">
        <f t="shared" si="22"/>
        <v>0</v>
      </c>
    </row>
    <row r="7">
      <c r="I7" s="4">
        <f t="shared" si="1"/>
        <v>0</v>
      </c>
      <c r="J7" s="3">
        <v>200.0</v>
      </c>
      <c r="K7" s="4">
        <f t="shared" si="2"/>
        <v>0</v>
      </c>
      <c r="L7" s="4">
        <f t="shared" si="3"/>
        <v>0</v>
      </c>
      <c r="M7" s="3">
        <v>26.0</v>
      </c>
      <c r="P7" s="4">
        <f t="shared" si="4"/>
        <v>0</v>
      </c>
      <c r="Q7" s="4">
        <f t="shared" si="5"/>
        <v>0</v>
      </c>
      <c r="R7" s="4">
        <f t="shared" si="6"/>
        <v>0</v>
      </c>
      <c r="S7" s="4">
        <f t="shared" si="7"/>
        <v>0</v>
      </c>
      <c r="T7" s="4">
        <f t="shared" si="8"/>
        <v>0</v>
      </c>
      <c r="U7" s="3">
        <f t="shared" si="9"/>
        <v>0</v>
      </c>
      <c r="V7" s="4">
        <f t="shared" si="10"/>
        <v>0</v>
      </c>
      <c r="W7" s="4">
        <f t="shared" si="11"/>
        <v>0</v>
      </c>
      <c r="X7" s="4">
        <f t="shared" si="12"/>
        <v>0</v>
      </c>
      <c r="Y7" s="4">
        <f t="shared" si="13"/>
        <v>0</v>
      </c>
      <c r="Z7" s="4">
        <f t="shared" si="14"/>
        <v>0</v>
      </c>
      <c r="AA7" s="3">
        <v>0.0</v>
      </c>
      <c r="AC7" s="3">
        <v>250.0</v>
      </c>
      <c r="AF7" s="4">
        <f t="shared" si="15"/>
        <v>250</v>
      </c>
      <c r="AG7" s="4">
        <f t="shared" si="16"/>
        <v>-250</v>
      </c>
      <c r="AH7" s="4">
        <f t="shared" si="17"/>
        <v>0</v>
      </c>
      <c r="AI7" s="4">
        <f t="shared" si="18"/>
        <v>0</v>
      </c>
      <c r="AK7" s="4">
        <f t="shared" si="19"/>
        <v>0</v>
      </c>
      <c r="AL7" s="4">
        <f t="shared" si="20"/>
        <v>0</v>
      </c>
      <c r="AM7" s="4">
        <f t="shared" si="21"/>
        <v>0</v>
      </c>
      <c r="AN7" s="4">
        <f t="shared" si="22"/>
        <v>0</v>
      </c>
    </row>
    <row r="8">
      <c r="I8" s="4">
        <f t="shared" si="1"/>
        <v>0</v>
      </c>
      <c r="J8" s="3">
        <v>200.0</v>
      </c>
      <c r="K8" s="4">
        <f t="shared" si="2"/>
        <v>0</v>
      </c>
      <c r="L8" s="4">
        <f t="shared" si="3"/>
        <v>0</v>
      </c>
      <c r="M8" s="3">
        <v>26.0</v>
      </c>
      <c r="P8" s="4">
        <f t="shared" si="4"/>
        <v>0</v>
      </c>
      <c r="Q8" s="4">
        <f t="shared" si="5"/>
        <v>0</v>
      </c>
      <c r="R8" s="4">
        <f t="shared" si="6"/>
        <v>0</v>
      </c>
      <c r="S8" s="4">
        <f t="shared" si="7"/>
        <v>0</v>
      </c>
      <c r="T8" s="4">
        <f t="shared" si="8"/>
        <v>0</v>
      </c>
      <c r="U8" s="3">
        <f t="shared" si="9"/>
        <v>0</v>
      </c>
      <c r="V8" s="4">
        <f t="shared" si="10"/>
        <v>0</v>
      </c>
      <c r="W8" s="4">
        <f t="shared" si="11"/>
        <v>0</v>
      </c>
      <c r="X8" s="4">
        <f t="shared" si="12"/>
        <v>0</v>
      </c>
      <c r="Y8" s="4">
        <f t="shared" si="13"/>
        <v>0</v>
      </c>
      <c r="Z8" s="4">
        <f t="shared" si="14"/>
        <v>0</v>
      </c>
      <c r="AA8" s="3">
        <v>0.0</v>
      </c>
      <c r="AC8" s="3">
        <v>250.0</v>
      </c>
      <c r="AF8" s="4">
        <f t="shared" si="15"/>
        <v>250</v>
      </c>
      <c r="AG8" s="4">
        <f t="shared" si="16"/>
        <v>-250</v>
      </c>
      <c r="AH8" s="4">
        <f t="shared" si="17"/>
        <v>0</v>
      </c>
      <c r="AI8" s="4">
        <f t="shared" si="18"/>
        <v>0</v>
      </c>
      <c r="AK8" s="4">
        <f t="shared" si="19"/>
        <v>0</v>
      </c>
      <c r="AL8" s="4">
        <f t="shared" si="20"/>
        <v>0</v>
      </c>
      <c r="AM8" s="4">
        <f t="shared" si="21"/>
        <v>0</v>
      </c>
      <c r="AN8" s="4">
        <f t="shared" si="22"/>
        <v>0</v>
      </c>
    </row>
    <row r="9">
      <c r="I9" s="4">
        <f t="shared" si="1"/>
        <v>0</v>
      </c>
      <c r="J9" s="3">
        <v>200.0</v>
      </c>
      <c r="K9" s="4">
        <f t="shared" si="2"/>
        <v>0</v>
      </c>
      <c r="L9" s="4">
        <f t="shared" si="3"/>
        <v>0</v>
      </c>
      <c r="M9" s="3">
        <v>26.0</v>
      </c>
      <c r="P9" s="4">
        <f t="shared" si="4"/>
        <v>0</v>
      </c>
      <c r="Q9" s="4">
        <f t="shared" si="5"/>
        <v>0</v>
      </c>
      <c r="R9" s="4">
        <f t="shared" si="6"/>
        <v>0</v>
      </c>
      <c r="S9" s="4">
        <f t="shared" si="7"/>
        <v>0</v>
      </c>
      <c r="T9" s="4">
        <f t="shared" si="8"/>
        <v>0</v>
      </c>
      <c r="U9" s="3">
        <f t="shared" si="9"/>
        <v>0</v>
      </c>
      <c r="V9" s="4">
        <f t="shared" si="10"/>
        <v>0</v>
      </c>
      <c r="W9" s="4">
        <f t="shared" si="11"/>
        <v>0</v>
      </c>
      <c r="X9" s="4">
        <f t="shared" si="12"/>
        <v>0</v>
      </c>
      <c r="Y9" s="4">
        <f t="shared" si="13"/>
        <v>0</v>
      </c>
      <c r="Z9" s="4">
        <f t="shared" si="14"/>
        <v>0</v>
      </c>
      <c r="AA9" s="3">
        <v>0.0</v>
      </c>
      <c r="AC9" s="3">
        <v>250.0</v>
      </c>
      <c r="AF9" s="4">
        <f t="shared" si="15"/>
        <v>250</v>
      </c>
      <c r="AG9" s="4">
        <f t="shared" si="16"/>
        <v>-250</v>
      </c>
      <c r="AH9" s="4">
        <f t="shared" si="17"/>
        <v>0</v>
      </c>
      <c r="AI9" s="4">
        <f t="shared" si="18"/>
        <v>0</v>
      </c>
      <c r="AK9" s="4">
        <f t="shared" si="19"/>
        <v>0</v>
      </c>
      <c r="AL9" s="4">
        <f t="shared" si="20"/>
        <v>0</v>
      </c>
      <c r="AM9" s="4">
        <f t="shared" si="21"/>
        <v>0</v>
      </c>
      <c r="AN9" s="4">
        <f t="shared" si="22"/>
        <v>0</v>
      </c>
    </row>
    <row r="10">
      <c r="I10" s="4">
        <f t="shared" si="1"/>
        <v>0</v>
      </c>
      <c r="J10" s="3">
        <v>200.0</v>
      </c>
      <c r="K10" s="4">
        <f t="shared" si="2"/>
        <v>0</v>
      </c>
      <c r="L10" s="4">
        <f t="shared" si="3"/>
        <v>0</v>
      </c>
      <c r="M10" s="3">
        <v>26.0</v>
      </c>
      <c r="P10" s="4">
        <f t="shared" si="4"/>
        <v>0</v>
      </c>
      <c r="Q10" s="4">
        <f t="shared" si="5"/>
        <v>0</v>
      </c>
      <c r="R10" s="4">
        <f t="shared" si="6"/>
        <v>0</v>
      </c>
      <c r="S10" s="4">
        <f t="shared" si="7"/>
        <v>0</v>
      </c>
      <c r="T10" s="4">
        <f t="shared" si="8"/>
        <v>0</v>
      </c>
      <c r="U10" s="3">
        <f t="shared" si="9"/>
        <v>0</v>
      </c>
      <c r="V10" s="4">
        <f t="shared" si="10"/>
        <v>0</v>
      </c>
      <c r="W10" s="4">
        <f t="shared" si="11"/>
        <v>0</v>
      </c>
      <c r="X10" s="4">
        <f t="shared" si="12"/>
        <v>0</v>
      </c>
      <c r="Y10" s="4">
        <f t="shared" si="13"/>
        <v>0</v>
      </c>
      <c r="Z10" s="4">
        <f t="shared" si="14"/>
        <v>0</v>
      </c>
      <c r="AA10" s="3">
        <v>0.0</v>
      </c>
      <c r="AC10" s="3">
        <v>250.0</v>
      </c>
      <c r="AF10" s="4">
        <f t="shared" si="15"/>
        <v>250</v>
      </c>
      <c r="AG10" s="4">
        <f t="shared" si="16"/>
        <v>-250</v>
      </c>
      <c r="AH10" s="4">
        <f t="shared" si="17"/>
        <v>0</v>
      </c>
      <c r="AI10" s="4">
        <f t="shared" si="18"/>
        <v>0</v>
      </c>
      <c r="AK10" s="4">
        <f t="shared" si="19"/>
        <v>0</v>
      </c>
      <c r="AL10" s="4">
        <f t="shared" si="20"/>
        <v>0</v>
      </c>
      <c r="AM10" s="4">
        <f t="shared" si="21"/>
        <v>0</v>
      </c>
      <c r="AN10" s="4">
        <f t="shared" si="22"/>
        <v>0</v>
      </c>
    </row>
    <row r="11">
      <c r="I11" s="4">
        <f t="shared" si="1"/>
        <v>0</v>
      </c>
      <c r="J11" s="3">
        <v>200.0</v>
      </c>
      <c r="K11" s="4">
        <f t="shared" si="2"/>
        <v>0</v>
      </c>
      <c r="L11" s="4">
        <f t="shared" si="3"/>
        <v>0</v>
      </c>
      <c r="M11" s="3">
        <v>26.0</v>
      </c>
      <c r="P11" s="4">
        <f t="shared" si="4"/>
        <v>0</v>
      </c>
      <c r="Q11" s="4">
        <f t="shared" si="5"/>
        <v>0</v>
      </c>
      <c r="R11" s="4">
        <f t="shared" si="6"/>
        <v>0</v>
      </c>
      <c r="S11" s="4">
        <f t="shared" si="7"/>
        <v>0</v>
      </c>
      <c r="T11" s="4">
        <f t="shared" si="8"/>
        <v>0</v>
      </c>
      <c r="U11" s="3">
        <f t="shared" si="9"/>
        <v>0</v>
      </c>
      <c r="V11" s="4">
        <f t="shared" si="10"/>
        <v>0</v>
      </c>
      <c r="W11" s="4">
        <f t="shared" si="11"/>
        <v>0</v>
      </c>
      <c r="X11" s="4">
        <f t="shared" si="12"/>
        <v>0</v>
      </c>
      <c r="Y11" s="4">
        <f t="shared" si="13"/>
        <v>0</v>
      </c>
      <c r="Z11" s="4">
        <f t="shared" si="14"/>
        <v>0</v>
      </c>
      <c r="AA11" s="3">
        <v>0.0</v>
      </c>
      <c r="AC11" s="3">
        <v>250.0</v>
      </c>
      <c r="AF11" s="4">
        <f t="shared" si="15"/>
        <v>250</v>
      </c>
      <c r="AG11" s="4">
        <f t="shared" si="16"/>
        <v>-250</v>
      </c>
      <c r="AH11" s="4">
        <f t="shared" si="17"/>
        <v>0</v>
      </c>
      <c r="AI11" s="4">
        <f t="shared" si="18"/>
        <v>0</v>
      </c>
      <c r="AK11" s="4">
        <f t="shared" si="19"/>
        <v>0</v>
      </c>
      <c r="AL11" s="4">
        <f t="shared" si="20"/>
        <v>0</v>
      </c>
      <c r="AM11" s="4">
        <f t="shared" si="21"/>
        <v>0</v>
      </c>
      <c r="AN11" s="4">
        <f t="shared" si="22"/>
        <v>0</v>
      </c>
    </row>
    <row r="12">
      <c r="I12" s="4">
        <f t="shared" si="1"/>
        <v>0</v>
      </c>
      <c r="J12" s="3">
        <v>200.0</v>
      </c>
      <c r="K12" s="4">
        <f t="shared" si="2"/>
        <v>0</v>
      </c>
      <c r="L12" s="4">
        <f t="shared" si="3"/>
        <v>0</v>
      </c>
      <c r="M12" s="3">
        <v>26.0</v>
      </c>
      <c r="P12" s="4">
        <f t="shared" si="4"/>
        <v>0</v>
      </c>
      <c r="Q12" s="4">
        <f t="shared" si="5"/>
        <v>0</v>
      </c>
      <c r="R12" s="4">
        <f t="shared" si="6"/>
        <v>0</v>
      </c>
      <c r="S12" s="4">
        <f t="shared" si="7"/>
        <v>0</v>
      </c>
      <c r="T12" s="4">
        <f t="shared" si="8"/>
        <v>0</v>
      </c>
      <c r="U12" s="3">
        <f t="shared" si="9"/>
        <v>0</v>
      </c>
      <c r="V12" s="4">
        <f t="shared" si="10"/>
        <v>0</v>
      </c>
      <c r="W12" s="4">
        <f t="shared" si="11"/>
        <v>0</v>
      </c>
      <c r="X12" s="4">
        <f t="shared" si="12"/>
        <v>0</v>
      </c>
      <c r="Y12" s="4">
        <f t="shared" si="13"/>
        <v>0</v>
      </c>
      <c r="Z12" s="4">
        <f t="shared" si="14"/>
        <v>0</v>
      </c>
      <c r="AA12" s="3">
        <v>0.0</v>
      </c>
      <c r="AC12" s="3">
        <v>250.0</v>
      </c>
      <c r="AF12" s="4">
        <f t="shared" si="15"/>
        <v>250</v>
      </c>
      <c r="AG12" s="4">
        <f t="shared" si="16"/>
        <v>-250</v>
      </c>
      <c r="AH12" s="4">
        <f t="shared" si="17"/>
        <v>0</v>
      </c>
      <c r="AI12" s="4">
        <f t="shared" si="18"/>
        <v>0</v>
      </c>
      <c r="AK12" s="4">
        <f t="shared" si="19"/>
        <v>0</v>
      </c>
      <c r="AL12" s="4">
        <f t="shared" si="20"/>
        <v>0</v>
      </c>
      <c r="AM12" s="4">
        <f t="shared" si="21"/>
        <v>0</v>
      </c>
      <c r="AN12" s="4">
        <f t="shared" si="22"/>
        <v>0</v>
      </c>
    </row>
    <row r="13">
      <c r="I13" s="4">
        <f t="shared" si="1"/>
        <v>0</v>
      </c>
      <c r="J13" s="3">
        <v>200.0</v>
      </c>
      <c r="K13" s="4">
        <f t="shared" si="2"/>
        <v>0</v>
      </c>
      <c r="L13" s="4">
        <f t="shared" si="3"/>
        <v>0</v>
      </c>
      <c r="M13" s="3">
        <v>26.0</v>
      </c>
      <c r="P13" s="4">
        <f t="shared" si="4"/>
        <v>0</v>
      </c>
      <c r="Q13" s="4">
        <f t="shared" si="5"/>
        <v>0</v>
      </c>
      <c r="R13" s="4">
        <f t="shared" si="6"/>
        <v>0</v>
      </c>
      <c r="S13" s="4">
        <f t="shared" si="7"/>
        <v>0</v>
      </c>
      <c r="T13" s="4">
        <f t="shared" si="8"/>
        <v>0</v>
      </c>
      <c r="U13" s="3">
        <f t="shared" si="9"/>
        <v>0</v>
      </c>
      <c r="V13" s="4">
        <f t="shared" si="10"/>
        <v>0</v>
      </c>
      <c r="W13" s="4">
        <f t="shared" si="11"/>
        <v>0</v>
      </c>
      <c r="X13" s="4">
        <f t="shared" si="12"/>
        <v>0</v>
      </c>
      <c r="Y13" s="4">
        <f t="shared" si="13"/>
        <v>0</v>
      </c>
      <c r="Z13" s="4">
        <f t="shared" si="14"/>
        <v>0</v>
      </c>
      <c r="AA13" s="3">
        <v>0.0</v>
      </c>
      <c r="AC13" s="3">
        <v>250.0</v>
      </c>
      <c r="AF13" s="4">
        <f t="shared" si="15"/>
        <v>250</v>
      </c>
      <c r="AG13" s="4">
        <f t="shared" si="16"/>
        <v>-250</v>
      </c>
      <c r="AH13" s="4">
        <f t="shared" si="17"/>
        <v>0</v>
      </c>
      <c r="AI13" s="4">
        <f t="shared" si="18"/>
        <v>0</v>
      </c>
      <c r="AK13" s="4">
        <f t="shared" si="19"/>
        <v>0</v>
      </c>
      <c r="AL13" s="4">
        <f t="shared" si="20"/>
        <v>0</v>
      </c>
      <c r="AM13" s="4">
        <f t="shared" si="21"/>
        <v>0</v>
      </c>
      <c r="AN13" s="4">
        <f t="shared" si="22"/>
        <v>0</v>
      </c>
    </row>
    <row r="14">
      <c r="I14" s="4">
        <f t="shared" si="1"/>
        <v>0</v>
      </c>
      <c r="J14" s="3">
        <v>200.0</v>
      </c>
      <c r="K14" s="4">
        <f t="shared" si="2"/>
        <v>0</v>
      </c>
      <c r="L14" s="4">
        <f t="shared" si="3"/>
        <v>0</v>
      </c>
      <c r="M14" s="3">
        <v>26.0</v>
      </c>
      <c r="P14" s="4">
        <f t="shared" si="4"/>
        <v>0</v>
      </c>
      <c r="Q14" s="4">
        <f t="shared" si="5"/>
        <v>0</v>
      </c>
      <c r="R14" s="4">
        <f t="shared" si="6"/>
        <v>0</v>
      </c>
      <c r="S14" s="4">
        <f t="shared" si="7"/>
        <v>0</v>
      </c>
      <c r="T14" s="4">
        <f t="shared" si="8"/>
        <v>0</v>
      </c>
      <c r="U14" s="3">
        <f t="shared" si="9"/>
        <v>0</v>
      </c>
      <c r="V14" s="4">
        <f t="shared" si="10"/>
        <v>0</v>
      </c>
      <c r="W14" s="4">
        <f t="shared" si="11"/>
        <v>0</v>
      </c>
      <c r="X14" s="4">
        <f t="shared" si="12"/>
        <v>0</v>
      </c>
      <c r="Y14" s="4">
        <f t="shared" si="13"/>
        <v>0</v>
      </c>
      <c r="Z14" s="4">
        <f t="shared" si="14"/>
        <v>0</v>
      </c>
      <c r="AA14" s="3">
        <v>0.0</v>
      </c>
      <c r="AC14" s="3">
        <v>250.0</v>
      </c>
      <c r="AF14" s="4">
        <f t="shared" si="15"/>
        <v>250</v>
      </c>
      <c r="AG14" s="4">
        <f t="shared" si="16"/>
        <v>-250</v>
      </c>
      <c r="AH14" s="4">
        <f t="shared" si="17"/>
        <v>0</v>
      </c>
      <c r="AI14" s="4">
        <f t="shared" si="18"/>
        <v>0</v>
      </c>
      <c r="AK14" s="4">
        <f t="shared" si="19"/>
        <v>0</v>
      </c>
      <c r="AL14" s="4">
        <f t="shared" si="20"/>
        <v>0</v>
      </c>
      <c r="AM14" s="4">
        <f t="shared" si="21"/>
        <v>0</v>
      </c>
      <c r="AN14" s="4">
        <f t="shared" si="22"/>
        <v>0</v>
      </c>
    </row>
    <row r="15">
      <c r="I15" s="4">
        <f t="shared" si="1"/>
        <v>0</v>
      </c>
      <c r="J15" s="3">
        <v>200.0</v>
      </c>
      <c r="K15" s="4">
        <f t="shared" si="2"/>
        <v>0</v>
      </c>
      <c r="L15" s="4">
        <f t="shared" si="3"/>
        <v>0</v>
      </c>
      <c r="M15" s="3">
        <v>26.0</v>
      </c>
      <c r="P15" s="4">
        <f t="shared" si="4"/>
        <v>0</v>
      </c>
      <c r="Q15" s="4">
        <f t="shared" si="5"/>
        <v>0</v>
      </c>
      <c r="R15" s="4">
        <f t="shared" si="6"/>
        <v>0</v>
      </c>
      <c r="S15" s="4">
        <f t="shared" si="7"/>
        <v>0</v>
      </c>
      <c r="T15" s="4">
        <f t="shared" si="8"/>
        <v>0</v>
      </c>
      <c r="U15" s="3">
        <f t="shared" si="9"/>
        <v>0</v>
      </c>
      <c r="V15" s="4">
        <f t="shared" si="10"/>
        <v>0</v>
      </c>
      <c r="W15" s="4">
        <f t="shared" si="11"/>
        <v>0</v>
      </c>
      <c r="X15" s="4">
        <f t="shared" si="12"/>
        <v>0</v>
      </c>
      <c r="Y15" s="4">
        <f t="shared" si="13"/>
        <v>0</v>
      </c>
      <c r="Z15" s="4">
        <f t="shared" si="14"/>
        <v>0</v>
      </c>
      <c r="AA15" s="3">
        <v>0.0</v>
      </c>
      <c r="AC15" s="3">
        <v>250.0</v>
      </c>
      <c r="AF15" s="4">
        <f t="shared" si="15"/>
        <v>250</v>
      </c>
      <c r="AG15" s="4">
        <f t="shared" si="16"/>
        <v>-250</v>
      </c>
      <c r="AH15" s="4">
        <f t="shared" si="17"/>
        <v>0</v>
      </c>
      <c r="AI15" s="4">
        <f t="shared" si="18"/>
        <v>0</v>
      </c>
      <c r="AK15" s="4">
        <f t="shared" si="19"/>
        <v>0</v>
      </c>
      <c r="AL15" s="4">
        <f t="shared" si="20"/>
        <v>0</v>
      </c>
      <c r="AM15" s="4">
        <f t="shared" si="21"/>
        <v>0</v>
      </c>
      <c r="AN15" s="4">
        <f t="shared" si="22"/>
        <v>0</v>
      </c>
    </row>
    <row r="16">
      <c r="I16" s="4">
        <f t="shared" si="1"/>
        <v>0</v>
      </c>
      <c r="J16" s="3">
        <v>200.0</v>
      </c>
      <c r="K16" s="4">
        <f t="shared" si="2"/>
        <v>0</v>
      </c>
      <c r="L16" s="4">
        <f t="shared" si="3"/>
        <v>0</v>
      </c>
      <c r="M16" s="3">
        <v>26.0</v>
      </c>
      <c r="P16" s="4">
        <f t="shared" si="4"/>
        <v>0</v>
      </c>
      <c r="Q16" s="4">
        <f t="shared" si="5"/>
        <v>0</v>
      </c>
      <c r="R16" s="4">
        <f t="shared" si="6"/>
        <v>0</v>
      </c>
      <c r="S16" s="4">
        <f t="shared" si="7"/>
        <v>0</v>
      </c>
      <c r="T16" s="4">
        <f t="shared" si="8"/>
        <v>0</v>
      </c>
      <c r="U16" s="3">
        <f t="shared" si="9"/>
        <v>0</v>
      </c>
      <c r="V16" s="4">
        <f t="shared" si="10"/>
        <v>0</v>
      </c>
      <c r="W16" s="4">
        <f t="shared" si="11"/>
        <v>0</v>
      </c>
      <c r="X16" s="4">
        <f t="shared" si="12"/>
        <v>0</v>
      </c>
      <c r="Y16" s="4">
        <f t="shared" si="13"/>
        <v>0</v>
      </c>
      <c r="Z16" s="4">
        <f t="shared" si="14"/>
        <v>0</v>
      </c>
      <c r="AA16" s="3">
        <v>0.0</v>
      </c>
      <c r="AC16" s="3">
        <v>250.0</v>
      </c>
      <c r="AF16" s="4">
        <f t="shared" si="15"/>
        <v>250</v>
      </c>
      <c r="AG16" s="4">
        <f t="shared" si="16"/>
        <v>-250</v>
      </c>
      <c r="AH16" s="4">
        <f t="shared" si="17"/>
        <v>0</v>
      </c>
      <c r="AI16" s="4">
        <f t="shared" si="18"/>
        <v>0</v>
      </c>
      <c r="AK16" s="4">
        <f t="shared" si="19"/>
        <v>0</v>
      </c>
      <c r="AL16" s="4">
        <f t="shared" si="20"/>
        <v>0</v>
      </c>
      <c r="AM16" s="4">
        <f t="shared" si="21"/>
        <v>0</v>
      </c>
      <c r="AN16" s="4">
        <f t="shared" si="22"/>
        <v>0</v>
      </c>
    </row>
    <row r="17">
      <c r="I17" s="4">
        <f t="shared" si="1"/>
        <v>0</v>
      </c>
      <c r="J17" s="3">
        <v>200.0</v>
      </c>
      <c r="K17" s="4">
        <f t="shared" si="2"/>
        <v>0</v>
      </c>
      <c r="L17" s="4">
        <f t="shared" si="3"/>
        <v>0</v>
      </c>
      <c r="M17" s="3">
        <v>26.0</v>
      </c>
      <c r="P17" s="4">
        <f t="shared" si="4"/>
        <v>0</v>
      </c>
      <c r="Q17" s="4">
        <f t="shared" si="5"/>
        <v>0</v>
      </c>
      <c r="R17" s="4">
        <f t="shared" si="6"/>
        <v>0</v>
      </c>
      <c r="S17" s="4">
        <f t="shared" si="7"/>
        <v>0</v>
      </c>
      <c r="T17" s="4">
        <f t="shared" si="8"/>
        <v>0</v>
      </c>
      <c r="U17" s="3">
        <f t="shared" si="9"/>
        <v>0</v>
      </c>
      <c r="V17" s="4">
        <f t="shared" si="10"/>
        <v>0</v>
      </c>
      <c r="W17" s="4">
        <f t="shared" si="11"/>
        <v>0</v>
      </c>
      <c r="X17" s="4">
        <f t="shared" si="12"/>
        <v>0</v>
      </c>
      <c r="Y17" s="4">
        <f t="shared" si="13"/>
        <v>0</v>
      </c>
      <c r="Z17" s="4">
        <f t="shared" si="14"/>
        <v>0</v>
      </c>
      <c r="AA17" s="3">
        <v>0.0</v>
      </c>
      <c r="AC17" s="3">
        <v>250.0</v>
      </c>
      <c r="AF17" s="4">
        <f t="shared" si="15"/>
        <v>250</v>
      </c>
      <c r="AG17" s="4">
        <f t="shared" si="16"/>
        <v>-250</v>
      </c>
      <c r="AH17" s="4">
        <f t="shared" si="17"/>
        <v>0</v>
      </c>
      <c r="AI17" s="4">
        <f t="shared" si="18"/>
        <v>0</v>
      </c>
      <c r="AK17" s="4">
        <f t="shared" si="19"/>
        <v>0</v>
      </c>
      <c r="AL17" s="4">
        <f t="shared" si="20"/>
        <v>0</v>
      </c>
      <c r="AM17" s="4">
        <f t="shared" si="21"/>
        <v>0</v>
      </c>
      <c r="AN17" s="4">
        <f t="shared" si="22"/>
        <v>0</v>
      </c>
    </row>
    <row r="18">
      <c r="I18" s="4">
        <f t="shared" si="1"/>
        <v>0</v>
      </c>
      <c r="J18" s="3">
        <v>200.0</v>
      </c>
      <c r="K18" s="4">
        <f t="shared" si="2"/>
        <v>0</v>
      </c>
      <c r="L18" s="4">
        <f t="shared" si="3"/>
        <v>0</v>
      </c>
      <c r="M18" s="3">
        <v>26.0</v>
      </c>
      <c r="P18" s="4">
        <f t="shared" si="4"/>
        <v>0</v>
      </c>
      <c r="Q18" s="4">
        <f t="shared" si="5"/>
        <v>0</v>
      </c>
      <c r="R18" s="4">
        <f t="shared" si="6"/>
        <v>0</v>
      </c>
      <c r="S18" s="4">
        <f t="shared" si="7"/>
        <v>0</v>
      </c>
      <c r="T18" s="4">
        <f t="shared" si="8"/>
        <v>0</v>
      </c>
      <c r="U18" s="3">
        <f t="shared" si="9"/>
        <v>0</v>
      </c>
      <c r="V18" s="4">
        <f t="shared" si="10"/>
        <v>0</v>
      </c>
      <c r="W18" s="4">
        <f t="shared" si="11"/>
        <v>0</v>
      </c>
      <c r="X18" s="4">
        <f t="shared" si="12"/>
        <v>0</v>
      </c>
      <c r="Y18" s="4">
        <f t="shared" si="13"/>
        <v>0</v>
      </c>
      <c r="Z18" s="4">
        <f t="shared" si="14"/>
        <v>0</v>
      </c>
      <c r="AA18" s="3">
        <v>0.0</v>
      </c>
      <c r="AC18" s="3">
        <v>250.0</v>
      </c>
      <c r="AF18" s="4">
        <f t="shared" si="15"/>
        <v>250</v>
      </c>
      <c r="AG18" s="4">
        <f t="shared" si="16"/>
        <v>-250</v>
      </c>
      <c r="AH18" s="4">
        <f t="shared" si="17"/>
        <v>0</v>
      </c>
      <c r="AI18" s="4">
        <f t="shared" si="18"/>
        <v>0</v>
      </c>
      <c r="AK18" s="4">
        <f t="shared" si="19"/>
        <v>0</v>
      </c>
      <c r="AL18" s="4">
        <f t="shared" si="20"/>
        <v>0</v>
      </c>
      <c r="AM18" s="4">
        <f t="shared" si="21"/>
        <v>0</v>
      </c>
      <c r="AN18" s="4">
        <f t="shared" si="22"/>
        <v>0</v>
      </c>
    </row>
    <row r="19">
      <c r="I19" s="4">
        <f t="shared" si="1"/>
        <v>0</v>
      </c>
      <c r="J19" s="3">
        <v>200.0</v>
      </c>
      <c r="K19" s="4">
        <f t="shared" si="2"/>
        <v>0</v>
      </c>
      <c r="L19" s="4">
        <f t="shared" si="3"/>
        <v>0</v>
      </c>
      <c r="M19" s="3">
        <v>26.0</v>
      </c>
      <c r="P19" s="4">
        <f t="shared" si="4"/>
        <v>0</v>
      </c>
      <c r="Q19" s="4">
        <f t="shared" si="5"/>
        <v>0</v>
      </c>
      <c r="R19" s="4">
        <f t="shared" si="6"/>
        <v>0</v>
      </c>
      <c r="S19" s="4">
        <f t="shared" si="7"/>
        <v>0</v>
      </c>
      <c r="T19" s="4">
        <f t="shared" si="8"/>
        <v>0</v>
      </c>
      <c r="U19" s="3">
        <f t="shared" si="9"/>
        <v>0</v>
      </c>
      <c r="V19" s="4">
        <f t="shared" si="10"/>
        <v>0</v>
      </c>
      <c r="W19" s="4">
        <f t="shared" si="11"/>
        <v>0</v>
      </c>
      <c r="X19" s="4">
        <f t="shared" si="12"/>
        <v>0</v>
      </c>
      <c r="Y19" s="4">
        <f t="shared" si="13"/>
        <v>0</v>
      </c>
      <c r="Z19" s="4">
        <f t="shared" si="14"/>
        <v>0</v>
      </c>
      <c r="AA19" s="3">
        <v>0.0</v>
      </c>
      <c r="AC19" s="3">
        <v>250.0</v>
      </c>
      <c r="AF19" s="4">
        <f t="shared" si="15"/>
        <v>250</v>
      </c>
      <c r="AG19" s="4">
        <f t="shared" si="16"/>
        <v>-250</v>
      </c>
      <c r="AH19" s="4">
        <f t="shared" si="17"/>
        <v>0</v>
      </c>
      <c r="AI19" s="4">
        <f t="shared" si="18"/>
        <v>0</v>
      </c>
      <c r="AK19" s="4">
        <f t="shared" si="19"/>
        <v>0</v>
      </c>
      <c r="AL19" s="4">
        <f t="shared" si="20"/>
        <v>0</v>
      </c>
      <c r="AM19" s="4">
        <f t="shared" si="21"/>
        <v>0</v>
      </c>
      <c r="AN19" s="4">
        <f t="shared" si="22"/>
        <v>0</v>
      </c>
    </row>
    <row r="20">
      <c r="I20" s="4">
        <f t="shared" si="1"/>
        <v>0</v>
      </c>
      <c r="J20" s="3">
        <v>200.0</v>
      </c>
      <c r="K20" s="4">
        <f t="shared" si="2"/>
        <v>0</v>
      </c>
      <c r="L20" s="4">
        <f t="shared" si="3"/>
        <v>0</v>
      </c>
      <c r="M20" s="3">
        <v>26.0</v>
      </c>
      <c r="P20" s="4">
        <f t="shared" si="4"/>
        <v>0</v>
      </c>
      <c r="Q20" s="4">
        <f t="shared" si="5"/>
        <v>0</v>
      </c>
      <c r="R20" s="4">
        <f t="shared" si="6"/>
        <v>0</v>
      </c>
      <c r="S20" s="4">
        <f t="shared" si="7"/>
        <v>0</v>
      </c>
      <c r="T20" s="4">
        <f t="shared" si="8"/>
        <v>0</v>
      </c>
      <c r="U20" s="3">
        <f t="shared" si="9"/>
        <v>0</v>
      </c>
      <c r="V20" s="4">
        <f t="shared" si="10"/>
        <v>0</v>
      </c>
      <c r="W20" s="4">
        <f t="shared" si="11"/>
        <v>0</v>
      </c>
      <c r="X20" s="4">
        <f t="shared" si="12"/>
        <v>0</v>
      </c>
      <c r="Y20" s="4">
        <f t="shared" si="13"/>
        <v>0</v>
      </c>
      <c r="Z20" s="4">
        <f t="shared" si="14"/>
        <v>0</v>
      </c>
      <c r="AA20" s="3">
        <v>0.0</v>
      </c>
      <c r="AC20" s="3">
        <v>250.0</v>
      </c>
      <c r="AF20" s="4">
        <f t="shared" si="15"/>
        <v>250</v>
      </c>
      <c r="AG20" s="4">
        <f t="shared" si="16"/>
        <v>-250</v>
      </c>
      <c r="AH20" s="4">
        <f t="shared" si="17"/>
        <v>0</v>
      </c>
      <c r="AI20" s="4">
        <f t="shared" si="18"/>
        <v>0</v>
      </c>
      <c r="AK20" s="4">
        <f t="shared" si="19"/>
        <v>0</v>
      </c>
      <c r="AL20" s="4">
        <f t="shared" si="20"/>
        <v>0</v>
      </c>
      <c r="AM20" s="4">
        <f t="shared" si="21"/>
        <v>0</v>
      </c>
      <c r="AN20" s="4">
        <f t="shared" si="22"/>
        <v>0</v>
      </c>
    </row>
    <row r="21">
      <c r="I21" s="4">
        <f t="shared" si="1"/>
        <v>0</v>
      </c>
      <c r="J21" s="3">
        <v>200.0</v>
      </c>
      <c r="K21" s="4">
        <f t="shared" si="2"/>
        <v>0</v>
      </c>
      <c r="L21" s="4">
        <f t="shared" si="3"/>
        <v>0</v>
      </c>
      <c r="M21" s="3">
        <v>26.0</v>
      </c>
      <c r="P21" s="4">
        <f t="shared" si="4"/>
        <v>0</v>
      </c>
      <c r="Q21" s="4">
        <f t="shared" si="5"/>
        <v>0</v>
      </c>
      <c r="R21" s="4">
        <f t="shared" si="6"/>
        <v>0</v>
      </c>
      <c r="S21" s="4">
        <f t="shared" si="7"/>
        <v>0</v>
      </c>
      <c r="T21" s="4">
        <f t="shared" si="8"/>
        <v>0</v>
      </c>
      <c r="U21" s="3">
        <f t="shared" si="9"/>
        <v>0</v>
      </c>
      <c r="V21" s="4">
        <f t="shared" si="10"/>
        <v>0</v>
      </c>
      <c r="W21" s="4">
        <f t="shared" si="11"/>
        <v>0</v>
      </c>
      <c r="X21" s="4">
        <f t="shared" si="12"/>
        <v>0</v>
      </c>
      <c r="Y21" s="4">
        <f t="shared" si="13"/>
        <v>0</v>
      </c>
      <c r="Z21" s="4">
        <f t="shared" si="14"/>
        <v>0</v>
      </c>
      <c r="AA21" s="3">
        <v>0.0</v>
      </c>
      <c r="AC21" s="3">
        <v>250.0</v>
      </c>
      <c r="AF21" s="4">
        <f t="shared" si="15"/>
        <v>250</v>
      </c>
      <c r="AG21" s="4">
        <f t="shared" si="16"/>
        <v>-250</v>
      </c>
      <c r="AH21" s="4">
        <f t="shared" si="17"/>
        <v>0</v>
      </c>
      <c r="AI21" s="4">
        <f t="shared" si="18"/>
        <v>0</v>
      </c>
      <c r="AK21" s="4">
        <f t="shared" si="19"/>
        <v>0</v>
      </c>
      <c r="AL21" s="4">
        <f t="shared" si="20"/>
        <v>0</v>
      </c>
      <c r="AM21" s="4">
        <f t="shared" si="21"/>
        <v>0</v>
      </c>
      <c r="AN21" s="4">
        <f t="shared" si="22"/>
        <v>0</v>
      </c>
    </row>
    <row r="22">
      <c r="I22" s="4">
        <f t="shared" si="1"/>
        <v>0</v>
      </c>
      <c r="J22" s="3">
        <v>200.0</v>
      </c>
      <c r="K22" s="4">
        <f t="shared" si="2"/>
        <v>0</v>
      </c>
      <c r="L22" s="4">
        <f t="shared" si="3"/>
        <v>0</v>
      </c>
      <c r="M22" s="3">
        <v>26.0</v>
      </c>
      <c r="P22" s="4">
        <f t="shared" si="4"/>
        <v>0</v>
      </c>
      <c r="Q22" s="4">
        <f t="shared" si="5"/>
        <v>0</v>
      </c>
      <c r="R22" s="4">
        <f t="shared" si="6"/>
        <v>0</v>
      </c>
      <c r="S22" s="4">
        <f t="shared" si="7"/>
        <v>0</v>
      </c>
      <c r="T22" s="4">
        <f t="shared" si="8"/>
        <v>0</v>
      </c>
      <c r="U22" s="3">
        <f t="shared" si="9"/>
        <v>0</v>
      </c>
      <c r="V22" s="4">
        <f t="shared" si="10"/>
        <v>0</v>
      </c>
      <c r="W22" s="4">
        <f t="shared" si="11"/>
        <v>0</v>
      </c>
      <c r="X22" s="4">
        <f t="shared" si="12"/>
        <v>0</v>
      </c>
      <c r="Y22" s="4">
        <f t="shared" si="13"/>
        <v>0</v>
      </c>
      <c r="Z22" s="4">
        <f t="shared" si="14"/>
        <v>0</v>
      </c>
      <c r="AA22" s="3">
        <v>0.0</v>
      </c>
      <c r="AC22" s="3">
        <v>250.0</v>
      </c>
      <c r="AF22" s="4">
        <f t="shared" si="15"/>
        <v>250</v>
      </c>
      <c r="AG22" s="4">
        <f t="shared" si="16"/>
        <v>-250</v>
      </c>
      <c r="AH22" s="4">
        <f t="shared" si="17"/>
        <v>0</v>
      </c>
      <c r="AI22" s="4">
        <f t="shared" si="18"/>
        <v>0</v>
      </c>
      <c r="AK22" s="4">
        <f t="shared" si="19"/>
        <v>0</v>
      </c>
      <c r="AL22" s="4">
        <f t="shared" si="20"/>
        <v>0</v>
      </c>
      <c r="AM22" s="4">
        <f t="shared" si="21"/>
        <v>0</v>
      </c>
      <c r="AN22" s="4">
        <f t="shared" si="22"/>
        <v>0</v>
      </c>
    </row>
    <row r="23">
      <c r="I23" s="4">
        <f t="shared" si="1"/>
        <v>0</v>
      </c>
      <c r="J23" s="3">
        <v>200.0</v>
      </c>
      <c r="K23" s="4">
        <f t="shared" si="2"/>
        <v>0</v>
      </c>
      <c r="L23" s="4">
        <f t="shared" si="3"/>
        <v>0</v>
      </c>
      <c r="M23" s="3">
        <v>26.0</v>
      </c>
      <c r="P23" s="4">
        <f t="shared" si="4"/>
        <v>0</v>
      </c>
      <c r="Q23" s="4">
        <f t="shared" si="5"/>
        <v>0</v>
      </c>
      <c r="R23" s="4">
        <f t="shared" si="6"/>
        <v>0</v>
      </c>
      <c r="S23" s="4">
        <f t="shared" si="7"/>
        <v>0</v>
      </c>
      <c r="T23" s="4">
        <f t="shared" si="8"/>
        <v>0</v>
      </c>
      <c r="U23" s="3">
        <f t="shared" si="9"/>
        <v>0</v>
      </c>
      <c r="V23" s="4">
        <f t="shared" si="10"/>
        <v>0</v>
      </c>
      <c r="W23" s="4">
        <f t="shared" si="11"/>
        <v>0</v>
      </c>
      <c r="X23" s="4">
        <f t="shared" si="12"/>
        <v>0</v>
      </c>
      <c r="Y23" s="4">
        <f t="shared" si="13"/>
        <v>0</v>
      </c>
      <c r="Z23" s="4">
        <f t="shared" si="14"/>
        <v>0</v>
      </c>
      <c r="AA23" s="3">
        <v>0.0</v>
      </c>
      <c r="AC23" s="3">
        <v>250.0</v>
      </c>
      <c r="AF23" s="4">
        <f t="shared" si="15"/>
        <v>250</v>
      </c>
      <c r="AG23" s="4">
        <f t="shared" si="16"/>
        <v>-250</v>
      </c>
      <c r="AH23" s="4">
        <f t="shared" si="17"/>
        <v>0</v>
      </c>
      <c r="AI23" s="4">
        <f t="shared" si="18"/>
        <v>0</v>
      </c>
      <c r="AK23" s="4">
        <f t="shared" si="19"/>
        <v>0</v>
      </c>
      <c r="AL23" s="4">
        <f t="shared" si="20"/>
        <v>0</v>
      </c>
      <c r="AM23" s="4">
        <f t="shared" si="21"/>
        <v>0</v>
      </c>
      <c r="AN23" s="4">
        <f t="shared" si="22"/>
        <v>0</v>
      </c>
    </row>
    <row r="24">
      <c r="I24" s="4">
        <f t="shared" si="1"/>
        <v>0</v>
      </c>
      <c r="J24" s="3">
        <v>200.0</v>
      </c>
      <c r="K24" s="4">
        <f t="shared" si="2"/>
        <v>0</v>
      </c>
      <c r="L24" s="4">
        <f t="shared" si="3"/>
        <v>0</v>
      </c>
      <c r="M24" s="3">
        <v>26.0</v>
      </c>
      <c r="P24" s="4">
        <f t="shared" si="4"/>
        <v>0</v>
      </c>
      <c r="Q24" s="4">
        <f t="shared" si="5"/>
        <v>0</v>
      </c>
      <c r="R24" s="4">
        <f t="shared" si="6"/>
        <v>0</v>
      </c>
      <c r="S24" s="4">
        <f t="shared" si="7"/>
        <v>0</v>
      </c>
      <c r="T24" s="4">
        <f t="shared" si="8"/>
        <v>0</v>
      </c>
      <c r="U24" s="3">
        <f t="shared" si="9"/>
        <v>0</v>
      </c>
      <c r="V24" s="4">
        <f t="shared" si="10"/>
        <v>0</v>
      </c>
      <c r="W24" s="4">
        <f t="shared" si="11"/>
        <v>0</v>
      </c>
      <c r="X24" s="4">
        <f t="shared" si="12"/>
        <v>0</v>
      </c>
      <c r="Y24" s="4">
        <f t="shared" si="13"/>
        <v>0</v>
      </c>
      <c r="Z24" s="4">
        <f t="shared" si="14"/>
        <v>0</v>
      </c>
      <c r="AA24" s="3">
        <v>0.0</v>
      </c>
      <c r="AC24" s="3">
        <v>250.0</v>
      </c>
      <c r="AF24" s="4">
        <f t="shared" si="15"/>
        <v>250</v>
      </c>
      <c r="AG24" s="4">
        <f t="shared" si="16"/>
        <v>-250</v>
      </c>
      <c r="AH24" s="4">
        <f t="shared" si="17"/>
        <v>0</v>
      </c>
      <c r="AI24" s="4">
        <f t="shared" si="18"/>
        <v>0</v>
      </c>
      <c r="AK24" s="4">
        <f t="shared" si="19"/>
        <v>0</v>
      </c>
      <c r="AL24" s="4">
        <f t="shared" si="20"/>
        <v>0</v>
      </c>
      <c r="AM24" s="4">
        <f t="shared" si="21"/>
        <v>0</v>
      </c>
      <c r="AN24" s="4">
        <f t="shared" si="22"/>
        <v>0</v>
      </c>
    </row>
    <row r="25">
      <c r="I25" s="4">
        <f t="shared" si="1"/>
        <v>0</v>
      </c>
      <c r="J25" s="3">
        <v>200.0</v>
      </c>
      <c r="K25" s="4">
        <f t="shared" si="2"/>
        <v>0</v>
      </c>
      <c r="L25" s="4">
        <f t="shared" si="3"/>
        <v>0</v>
      </c>
      <c r="M25" s="3">
        <v>26.0</v>
      </c>
      <c r="P25" s="4">
        <f t="shared" si="4"/>
        <v>0</v>
      </c>
      <c r="Q25" s="4">
        <f t="shared" si="5"/>
        <v>0</v>
      </c>
      <c r="R25" s="4">
        <f t="shared" si="6"/>
        <v>0</v>
      </c>
      <c r="S25" s="4">
        <f t="shared" si="7"/>
        <v>0</v>
      </c>
      <c r="T25" s="4">
        <f t="shared" si="8"/>
        <v>0</v>
      </c>
      <c r="U25" s="3">
        <f t="shared" si="9"/>
        <v>0</v>
      </c>
      <c r="V25" s="4">
        <f t="shared" si="10"/>
        <v>0</v>
      </c>
      <c r="W25" s="4">
        <f t="shared" si="11"/>
        <v>0</v>
      </c>
      <c r="X25" s="4">
        <f t="shared" si="12"/>
        <v>0</v>
      </c>
      <c r="Y25" s="4">
        <f t="shared" si="13"/>
        <v>0</v>
      </c>
      <c r="Z25" s="4">
        <f t="shared" si="14"/>
        <v>0</v>
      </c>
      <c r="AA25" s="3">
        <v>0.0</v>
      </c>
      <c r="AC25" s="3">
        <v>250.0</v>
      </c>
      <c r="AF25" s="4">
        <f t="shared" si="15"/>
        <v>250</v>
      </c>
      <c r="AG25" s="4">
        <f t="shared" si="16"/>
        <v>-250</v>
      </c>
      <c r="AH25" s="4">
        <f t="shared" si="17"/>
        <v>0</v>
      </c>
      <c r="AI25" s="4">
        <f t="shared" si="18"/>
        <v>0</v>
      </c>
      <c r="AK25" s="4">
        <f t="shared" si="19"/>
        <v>0</v>
      </c>
      <c r="AL25" s="4">
        <f t="shared" si="20"/>
        <v>0</v>
      </c>
      <c r="AM25" s="4">
        <f t="shared" si="21"/>
        <v>0</v>
      </c>
      <c r="AN25" s="4">
        <f t="shared" si="22"/>
        <v>0</v>
      </c>
    </row>
    <row r="26">
      <c r="I26" s="4">
        <f t="shared" si="1"/>
        <v>0</v>
      </c>
      <c r="J26" s="3">
        <v>200.0</v>
      </c>
      <c r="K26" s="4">
        <f t="shared" si="2"/>
        <v>0</v>
      </c>
      <c r="L26" s="4">
        <f t="shared" si="3"/>
        <v>0</v>
      </c>
      <c r="M26" s="3">
        <v>26.0</v>
      </c>
      <c r="P26" s="4">
        <f t="shared" si="4"/>
        <v>0</v>
      </c>
      <c r="Q26" s="4">
        <f t="shared" si="5"/>
        <v>0</v>
      </c>
      <c r="R26" s="4">
        <f t="shared" si="6"/>
        <v>0</v>
      </c>
      <c r="S26" s="4">
        <f t="shared" si="7"/>
        <v>0</v>
      </c>
      <c r="T26" s="4">
        <f t="shared" si="8"/>
        <v>0</v>
      </c>
      <c r="U26" s="3">
        <f t="shared" si="9"/>
        <v>0</v>
      </c>
      <c r="V26" s="4">
        <f t="shared" si="10"/>
        <v>0</v>
      </c>
      <c r="W26" s="4">
        <f t="shared" si="11"/>
        <v>0</v>
      </c>
      <c r="X26" s="4">
        <f t="shared" si="12"/>
        <v>0</v>
      </c>
      <c r="Y26" s="4">
        <f t="shared" si="13"/>
        <v>0</v>
      </c>
      <c r="Z26" s="4">
        <f t="shared" si="14"/>
        <v>0</v>
      </c>
      <c r="AA26" s="3">
        <v>0.0</v>
      </c>
      <c r="AC26" s="3">
        <v>250.0</v>
      </c>
      <c r="AF26" s="4">
        <f t="shared" si="15"/>
        <v>250</v>
      </c>
      <c r="AG26" s="4">
        <f t="shared" si="16"/>
        <v>-250</v>
      </c>
      <c r="AH26" s="4">
        <f t="shared" si="17"/>
        <v>0</v>
      </c>
      <c r="AI26" s="4">
        <f t="shared" si="18"/>
        <v>0</v>
      </c>
      <c r="AK26" s="4">
        <f t="shared" si="19"/>
        <v>0</v>
      </c>
      <c r="AL26" s="4">
        <f t="shared" si="20"/>
        <v>0</v>
      </c>
      <c r="AM26" s="4">
        <f t="shared" si="21"/>
        <v>0</v>
      </c>
      <c r="AN26" s="4">
        <f t="shared" si="22"/>
        <v>0</v>
      </c>
    </row>
    <row r="27">
      <c r="I27" s="4">
        <f t="shared" si="1"/>
        <v>0</v>
      </c>
      <c r="J27" s="3">
        <v>200.0</v>
      </c>
      <c r="K27" s="4">
        <f t="shared" si="2"/>
        <v>0</v>
      </c>
      <c r="L27" s="4">
        <f t="shared" si="3"/>
        <v>0</v>
      </c>
      <c r="M27" s="3">
        <v>26.0</v>
      </c>
      <c r="P27" s="4">
        <f t="shared" si="4"/>
        <v>0</v>
      </c>
      <c r="Q27" s="4">
        <f t="shared" si="5"/>
        <v>0</v>
      </c>
      <c r="R27" s="4">
        <f t="shared" si="6"/>
        <v>0</v>
      </c>
      <c r="S27" s="4">
        <f t="shared" si="7"/>
        <v>0</v>
      </c>
      <c r="T27" s="4">
        <f t="shared" si="8"/>
        <v>0</v>
      </c>
      <c r="U27" s="3">
        <f t="shared" si="9"/>
        <v>0</v>
      </c>
      <c r="V27" s="4">
        <f t="shared" si="10"/>
        <v>0</v>
      </c>
      <c r="W27" s="4">
        <f t="shared" si="11"/>
        <v>0</v>
      </c>
      <c r="X27" s="4">
        <f t="shared" si="12"/>
        <v>0</v>
      </c>
      <c r="Y27" s="4">
        <f t="shared" si="13"/>
        <v>0</v>
      </c>
      <c r="Z27" s="4">
        <f t="shared" si="14"/>
        <v>0</v>
      </c>
      <c r="AA27" s="3">
        <v>0.0</v>
      </c>
      <c r="AC27" s="3">
        <v>250.0</v>
      </c>
      <c r="AF27" s="4">
        <f t="shared" si="15"/>
        <v>250</v>
      </c>
      <c r="AG27" s="4">
        <f t="shared" si="16"/>
        <v>-250</v>
      </c>
      <c r="AH27" s="4">
        <f t="shared" si="17"/>
        <v>0</v>
      </c>
      <c r="AI27" s="4">
        <f t="shared" si="18"/>
        <v>0</v>
      </c>
      <c r="AK27" s="4">
        <f t="shared" si="19"/>
        <v>0</v>
      </c>
      <c r="AL27" s="4">
        <f t="shared" si="20"/>
        <v>0</v>
      </c>
      <c r="AM27" s="4">
        <f t="shared" si="21"/>
        <v>0</v>
      </c>
      <c r="AN27" s="4">
        <f t="shared" si="22"/>
        <v>0</v>
      </c>
    </row>
    <row r="28">
      <c r="I28" s="4">
        <f t="shared" si="1"/>
        <v>0</v>
      </c>
      <c r="J28" s="3">
        <v>200.0</v>
      </c>
      <c r="K28" s="4">
        <f t="shared" si="2"/>
        <v>0</v>
      </c>
      <c r="L28" s="4">
        <f t="shared" si="3"/>
        <v>0</v>
      </c>
      <c r="M28" s="3">
        <v>26.0</v>
      </c>
      <c r="P28" s="4">
        <f t="shared" si="4"/>
        <v>0</v>
      </c>
      <c r="Q28" s="4">
        <f t="shared" si="5"/>
        <v>0</v>
      </c>
      <c r="R28" s="4">
        <f t="shared" si="6"/>
        <v>0</v>
      </c>
      <c r="S28" s="4">
        <f t="shared" si="7"/>
        <v>0</v>
      </c>
      <c r="T28" s="4">
        <f t="shared" si="8"/>
        <v>0</v>
      </c>
      <c r="U28" s="3">
        <f t="shared" si="9"/>
        <v>0</v>
      </c>
      <c r="V28" s="4">
        <f t="shared" si="10"/>
        <v>0</v>
      </c>
      <c r="W28" s="4">
        <f t="shared" si="11"/>
        <v>0</v>
      </c>
      <c r="X28" s="4">
        <f t="shared" si="12"/>
        <v>0</v>
      </c>
      <c r="Y28" s="4">
        <f t="shared" si="13"/>
        <v>0</v>
      </c>
      <c r="Z28" s="4">
        <f t="shared" si="14"/>
        <v>0</v>
      </c>
      <c r="AA28" s="3">
        <v>0.0</v>
      </c>
      <c r="AC28" s="3">
        <v>250.0</v>
      </c>
      <c r="AF28" s="4">
        <f t="shared" si="15"/>
        <v>250</v>
      </c>
      <c r="AG28" s="4">
        <f t="shared" si="16"/>
        <v>-250</v>
      </c>
      <c r="AH28" s="4">
        <f t="shared" si="17"/>
        <v>0</v>
      </c>
      <c r="AI28" s="4">
        <f t="shared" si="18"/>
        <v>0</v>
      </c>
      <c r="AK28" s="4">
        <f t="shared" si="19"/>
        <v>0</v>
      </c>
      <c r="AL28" s="4">
        <f t="shared" si="20"/>
        <v>0</v>
      </c>
      <c r="AM28" s="4">
        <f t="shared" si="21"/>
        <v>0</v>
      </c>
      <c r="AN28" s="4">
        <f t="shared" si="22"/>
        <v>0</v>
      </c>
    </row>
    <row r="29">
      <c r="I29" s="4">
        <f t="shared" si="1"/>
        <v>0</v>
      </c>
      <c r="J29" s="3">
        <v>200.0</v>
      </c>
      <c r="K29" s="4">
        <f t="shared" si="2"/>
        <v>0</v>
      </c>
      <c r="L29" s="4">
        <f t="shared" si="3"/>
        <v>0</v>
      </c>
      <c r="M29" s="3">
        <v>26.0</v>
      </c>
      <c r="P29" s="4">
        <f t="shared" si="4"/>
        <v>0</v>
      </c>
      <c r="Q29" s="4">
        <f t="shared" si="5"/>
        <v>0</v>
      </c>
      <c r="R29" s="4">
        <f t="shared" si="6"/>
        <v>0</v>
      </c>
      <c r="S29" s="4">
        <f t="shared" si="7"/>
        <v>0</v>
      </c>
      <c r="T29" s="4">
        <f t="shared" si="8"/>
        <v>0</v>
      </c>
      <c r="U29" s="3">
        <f t="shared" si="9"/>
        <v>0</v>
      </c>
      <c r="V29" s="4">
        <f t="shared" si="10"/>
        <v>0</v>
      </c>
      <c r="W29" s="4">
        <f t="shared" si="11"/>
        <v>0</v>
      </c>
      <c r="X29" s="4">
        <f t="shared" si="12"/>
        <v>0</v>
      </c>
      <c r="Y29" s="4">
        <f t="shared" si="13"/>
        <v>0</v>
      </c>
      <c r="Z29" s="4">
        <f t="shared" si="14"/>
        <v>0</v>
      </c>
      <c r="AA29" s="3">
        <v>0.0</v>
      </c>
      <c r="AC29" s="3">
        <v>250.0</v>
      </c>
      <c r="AF29" s="4">
        <f t="shared" si="15"/>
        <v>250</v>
      </c>
      <c r="AG29" s="4">
        <f t="shared" si="16"/>
        <v>-250</v>
      </c>
      <c r="AH29" s="4">
        <f t="shared" si="17"/>
        <v>0</v>
      </c>
      <c r="AI29" s="4">
        <f t="shared" si="18"/>
        <v>0</v>
      </c>
      <c r="AK29" s="4">
        <f t="shared" si="19"/>
        <v>0</v>
      </c>
      <c r="AL29" s="4">
        <f t="shared" si="20"/>
        <v>0</v>
      </c>
      <c r="AM29" s="4">
        <f t="shared" si="21"/>
        <v>0</v>
      </c>
      <c r="AN29" s="4">
        <f t="shared" si="22"/>
        <v>0</v>
      </c>
    </row>
    <row r="30">
      <c r="I30" s="4">
        <f t="shared" si="1"/>
        <v>0</v>
      </c>
      <c r="J30" s="3">
        <v>200.0</v>
      </c>
      <c r="K30" s="4">
        <f t="shared" si="2"/>
        <v>0</v>
      </c>
      <c r="L30" s="4">
        <f t="shared" si="3"/>
        <v>0</v>
      </c>
      <c r="M30" s="3">
        <v>26.0</v>
      </c>
      <c r="P30" s="4">
        <f t="shared" si="4"/>
        <v>0</v>
      </c>
      <c r="Q30" s="4">
        <f t="shared" si="5"/>
        <v>0</v>
      </c>
      <c r="R30" s="4">
        <f t="shared" si="6"/>
        <v>0</v>
      </c>
      <c r="S30" s="4">
        <f t="shared" si="7"/>
        <v>0</v>
      </c>
      <c r="T30" s="4">
        <f t="shared" si="8"/>
        <v>0</v>
      </c>
      <c r="U30" s="3">
        <f t="shared" si="9"/>
        <v>0</v>
      </c>
      <c r="V30" s="4">
        <f t="shared" si="10"/>
        <v>0</v>
      </c>
      <c r="W30" s="4">
        <f t="shared" si="11"/>
        <v>0</v>
      </c>
      <c r="X30" s="4">
        <f t="shared" si="12"/>
        <v>0</v>
      </c>
      <c r="Y30" s="4">
        <f t="shared" si="13"/>
        <v>0</v>
      </c>
      <c r="Z30" s="4">
        <f t="shared" si="14"/>
        <v>0</v>
      </c>
      <c r="AA30" s="3">
        <v>0.0</v>
      </c>
      <c r="AC30" s="3">
        <v>250.0</v>
      </c>
      <c r="AF30" s="4">
        <f t="shared" si="15"/>
        <v>250</v>
      </c>
      <c r="AG30" s="4">
        <f t="shared" si="16"/>
        <v>-250</v>
      </c>
      <c r="AH30" s="4">
        <f t="shared" si="17"/>
        <v>0</v>
      </c>
      <c r="AI30" s="4">
        <f t="shared" si="18"/>
        <v>0</v>
      </c>
      <c r="AK30" s="4">
        <f t="shared" si="19"/>
        <v>0</v>
      </c>
      <c r="AL30" s="4">
        <f t="shared" si="20"/>
        <v>0</v>
      </c>
      <c r="AM30" s="4">
        <f t="shared" si="21"/>
        <v>0</v>
      </c>
      <c r="AN30" s="4">
        <f t="shared" si="22"/>
        <v>0</v>
      </c>
    </row>
    <row r="31">
      <c r="I31" s="4">
        <f t="shared" si="1"/>
        <v>0</v>
      </c>
      <c r="J31" s="3">
        <v>200.0</v>
      </c>
      <c r="K31" s="4">
        <f t="shared" si="2"/>
        <v>0</v>
      </c>
      <c r="L31" s="4">
        <f t="shared" si="3"/>
        <v>0</v>
      </c>
      <c r="M31" s="3">
        <v>26.0</v>
      </c>
      <c r="P31" s="4">
        <f t="shared" si="4"/>
        <v>0</v>
      </c>
      <c r="Q31" s="4">
        <f t="shared" si="5"/>
        <v>0</v>
      </c>
      <c r="R31" s="4">
        <f t="shared" si="6"/>
        <v>0</v>
      </c>
      <c r="S31" s="4">
        <f t="shared" si="7"/>
        <v>0</v>
      </c>
      <c r="T31" s="4">
        <f t="shared" si="8"/>
        <v>0</v>
      </c>
      <c r="U31" s="3">
        <f t="shared" si="9"/>
        <v>0</v>
      </c>
      <c r="V31" s="4">
        <f t="shared" si="10"/>
        <v>0</v>
      </c>
      <c r="W31" s="4">
        <f t="shared" si="11"/>
        <v>0</v>
      </c>
      <c r="X31" s="4">
        <f t="shared" si="12"/>
        <v>0</v>
      </c>
      <c r="Y31" s="4">
        <f t="shared" si="13"/>
        <v>0</v>
      </c>
      <c r="Z31" s="4">
        <f t="shared" si="14"/>
        <v>0</v>
      </c>
      <c r="AA31" s="3">
        <v>0.0</v>
      </c>
      <c r="AC31" s="3">
        <v>250.0</v>
      </c>
      <c r="AF31" s="4">
        <f t="shared" si="15"/>
        <v>250</v>
      </c>
      <c r="AG31" s="4">
        <f t="shared" si="16"/>
        <v>-250</v>
      </c>
      <c r="AH31" s="4">
        <f t="shared" si="17"/>
        <v>0</v>
      </c>
      <c r="AI31" s="4">
        <f t="shared" si="18"/>
        <v>0</v>
      </c>
      <c r="AK31" s="4">
        <f t="shared" si="19"/>
        <v>0</v>
      </c>
      <c r="AL31" s="4">
        <f t="shared" si="20"/>
        <v>0</v>
      </c>
      <c r="AM31" s="4">
        <f t="shared" si="21"/>
        <v>0</v>
      </c>
      <c r="AN31" s="4">
        <f t="shared" si="22"/>
        <v>0</v>
      </c>
    </row>
    <row r="32">
      <c r="I32" s="4">
        <f t="shared" si="1"/>
        <v>0</v>
      </c>
      <c r="J32" s="3">
        <v>200.0</v>
      </c>
      <c r="K32" s="4">
        <f t="shared" si="2"/>
        <v>0</v>
      </c>
      <c r="L32" s="4">
        <f t="shared" si="3"/>
        <v>0</v>
      </c>
      <c r="M32" s="3">
        <v>26.0</v>
      </c>
      <c r="P32" s="4">
        <f t="shared" si="4"/>
        <v>0</v>
      </c>
      <c r="Q32" s="4">
        <f t="shared" si="5"/>
        <v>0</v>
      </c>
      <c r="R32" s="4">
        <f t="shared" si="6"/>
        <v>0</v>
      </c>
      <c r="S32" s="4">
        <f t="shared" si="7"/>
        <v>0</v>
      </c>
      <c r="T32" s="4">
        <f t="shared" si="8"/>
        <v>0</v>
      </c>
      <c r="U32" s="3">
        <f t="shared" si="9"/>
        <v>0</v>
      </c>
      <c r="V32" s="4">
        <f t="shared" si="10"/>
        <v>0</v>
      </c>
      <c r="W32" s="4">
        <f t="shared" si="11"/>
        <v>0</v>
      </c>
      <c r="X32" s="4">
        <f t="shared" si="12"/>
        <v>0</v>
      </c>
      <c r="Y32" s="4">
        <f t="shared" si="13"/>
        <v>0</v>
      </c>
      <c r="Z32" s="4">
        <f t="shared" si="14"/>
        <v>0</v>
      </c>
      <c r="AA32" s="3">
        <v>0.0</v>
      </c>
      <c r="AC32" s="3">
        <v>250.0</v>
      </c>
      <c r="AF32" s="4">
        <f t="shared" si="15"/>
        <v>250</v>
      </c>
      <c r="AG32" s="4">
        <f t="shared" si="16"/>
        <v>-250</v>
      </c>
      <c r="AH32" s="4">
        <f t="shared" si="17"/>
        <v>0</v>
      </c>
      <c r="AI32" s="4">
        <f t="shared" si="18"/>
        <v>0</v>
      </c>
      <c r="AK32" s="4">
        <f t="shared" si="19"/>
        <v>0</v>
      </c>
      <c r="AL32" s="4">
        <f t="shared" si="20"/>
        <v>0</v>
      </c>
      <c r="AM32" s="4">
        <f t="shared" si="21"/>
        <v>0</v>
      </c>
      <c r="AN32" s="4">
        <f t="shared" si="22"/>
        <v>0</v>
      </c>
    </row>
    <row r="33">
      <c r="I33" s="4">
        <f t="shared" si="1"/>
        <v>0</v>
      </c>
      <c r="J33" s="3">
        <v>200.0</v>
      </c>
      <c r="K33" s="4">
        <f t="shared" si="2"/>
        <v>0</v>
      </c>
      <c r="L33" s="4">
        <f t="shared" si="3"/>
        <v>0</v>
      </c>
      <c r="M33" s="3">
        <v>26.0</v>
      </c>
      <c r="P33" s="4">
        <f t="shared" si="4"/>
        <v>0</v>
      </c>
      <c r="Q33" s="4">
        <f t="shared" si="5"/>
        <v>0</v>
      </c>
      <c r="R33" s="4">
        <f t="shared" si="6"/>
        <v>0</v>
      </c>
      <c r="S33" s="4">
        <f t="shared" si="7"/>
        <v>0</v>
      </c>
      <c r="T33" s="4">
        <f t="shared" si="8"/>
        <v>0</v>
      </c>
      <c r="U33" s="3">
        <f t="shared" si="9"/>
        <v>0</v>
      </c>
      <c r="V33" s="4">
        <f t="shared" si="10"/>
        <v>0</v>
      </c>
      <c r="W33" s="4">
        <f t="shared" si="11"/>
        <v>0</v>
      </c>
      <c r="X33" s="4">
        <f t="shared" si="12"/>
        <v>0</v>
      </c>
      <c r="Y33" s="4">
        <f t="shared" si="13"/>
        <v>0</v>
      </c>
      <c r="Z33" s="4">
        <f t="shared" si="14"/>
        <v>0</v>
      </c>
      <c r="AA33" s="3">
        <v>0.0</v>
      </c>
      <c r="AC33" s="3">
        <v>250.0</v>
      </c>
      <c r="AF33" s="4">
        <f t="shared" si="15"/>
        <v>250</v>
      </c>
      <c r="AG33" s="4">
        <f t="shared" si="16"/>
        <v>-250</v>
      </c>
      <c r="AH33" s="4">
        <f t="shared" si="17"/>
        <v>0</v>
      </c>
      <c r="AI33" s="4">
        <f t="shared" si="18"/>
        <v>0</v>
      </c>
      <c r="AK33" s="4">
        <f t="shared" si="19"/>
        <v>0</v>
      </c>
      <c r="AL33" s="4">
        <f t="shared" si="20"/>
        <v>0</v>
      </c>
      <c r="AM33" s="4">
        <f t="shared" si="21"/>
        <v>0</v>
      </c>
      <c r="AN33" s="4">
        <f t="shared" si="22"/>
        <v>0</v>
      </c>
    </row>
    <row r="34">
      <c r="I34" s="4">
        <f t="shared" si="1"/>
        <v>0</v>
      </c>
      <c r="J34" s="3">
        <v>200.0</v>
      </c>
      <c r="K34" s="4">
        <f t="shared" si="2"/>
        <v>0</v>
      </c>
      <c r="L34" s="4">
        <f t="shared" si="3"/>
        <v>0</v>
      </c>
      <c r="M34" s="3">
        <v>26.0</v>
      </c>
      <c r="P34" s="4">
        <f t="shared" si="4"/>
        <v>0</v>
      </c>
      <c r="Q34" s="4">
        <f t="shared" si="5"/>
        <v>0</v>
      </c>
      <c r="R34" s="4">
        <f t="shared" si="6"/>
        <v>0</v>
      </c>
      <c r="S34" s="4">
        <f t="shared" si="7"/>
        <v>0</v>
      </c>
      <c r="T34" s="4">
        <f t="shared" si="8"/>
        <v>0</v>
      </c>
      <c r="U34" s="3">
        <f t="shared" si="9"/>
        <v>0</v>
      </c>
      <c r="V34" s="4">
        <f t="shared" si="10"/>
        <v>0</v>
      </c>
      <c r="W34" s="4">
        <f t="shared" si="11"/>
        <v>0</v>
      </c>
      <c r="X34" s="4">
        <f t="shared" si="12"/>
        <v>0</v>
      </c>
      <c r="Y34" s="4">
        <f t="shared" si="13"/>
        <v>0</v>
      </c>
      <c r="Z34" s="4">
        <f t="shared" si="14"/>
        <v>0</v>
      </c>
      <c r="AA34" s="3">
        <v>0.0</v>
      </c>
      <c r="AC34" s="3">
        <v>250.0</v>
      </c>
      <c r="AF34" s="4">
        <f t="shared" si="15"/>
        <v>250</v>
      </c>
      <c r="AG34" s="4">
        <f t="shared" si="16"/>
        <v>-250</v>
      </c>
      <c r="AH34" s="4">
        <f t="shared" si="17"/>
        <v>0</v>
      </c>
      <c r="AI34" s="4">
        <f t="shared" si="18"/>
        <v>0</v>
      </c>
      <c r="AK34" s="4">
        <f t="shared" si="19"/>
        <v>0</v>
      </c>
      <c r="AL34" s="4">
        <f t="shared" si="20"/>
        <v>0</v>
      </c>
      <c r="AM34" s="4">
        <f t="shared" si="21"/>
        <v>0</v>
      </c>
      <c r="AN34" s="4">
        <f t="shared" si="22"/>
        <v>0</v>
      </c>
    </row>
    <row r="35">
      <c r="I35" s="4">
        <f t="shared" si="1"/>
        <v>0</v>
      </c>
      <c r="J35" s="3">
        <v>200.0</v>
      </c>
      <c r="K35" s="4">
        <f t="shared" si="2"/>
        <v>0</v>
      </c>
      <c r="L35" s="4">
        <f t="shared" si="3"/>
        <v>0</v>
      </c>
      <c r="M35" s="3">
        <v>26.0</v>
      </c>
      <c r="P35" s="4">
        <f t="shared" si="4"/>
        <v>0</v>
      </c>
      <c r="Q35" s="4">
        <f t="shared" si="5"/>
        <v>0</v>
      </c>
      <c r="R35" s="4">
        <f t="shared" si="6"/>
        <v>0</v>
      </c>
      <c r="S35" s="4">
        <f t="shared" si="7"/>
        <v>0</v>
      </c>
      <c r="T35" s="4">
        <f t="shared" si="8"/>
        <v>0</v>
      </c>
      <c r="U35" s="3">
        <f t="shared" si="9"/>
        <v>0</v>
      </c>
      <c r="V35" s="4">
        <f t="shared" si="10"/>
        <v>0</v>
      </c>
      <c r="W35" s="4">
        <f t="shared" si="11"/>
        <v>0</v>
      </c>
      <c r="X35" s="4">
        <f t="shared" si="12"/>
        <v>0</v>
      </c>
      <c r="Y35" s="4">
        <f t="shared" si="13"/>
        <v>0</v>
      </c>
      <c r="Z35" s="4">
        <f t="shared" si="14"/>
        <v>0</v>
      </c>
      <c r="AA35" s="3">
        <v>0.0</v>
      </c>
      <c r="AC35" s="3">
        <v>250.0</v>
      </c>
      <c r="AF35" s="4">
        <f t="shared" si="15"/>
        <v>250</v>
      </c>
      <c r="AG35" s="4">
        <f t="shared" si="16"/>
        <v>-250</v>
      </c>
      <c r="AH35" s="4">
        <f t="shared" si="17"/>
        <v>0</v>
      </c>
      <c r="AI35" s="4">
        <f t="shared" si="18"/>
        <v>0</v>
      </c>
      <c r="AK35" s="4">
        <f t="shared" si="19"/>
        <v>0</v>
      </c>
      <c r="AL35" s="4">
        <f t="shared" si="20"/>
        <v>0</v>
      </c>
      <c r="AM35" s="4">
        <f t="shared" si="21"/>
        <v>0</v>
      </c>
      <c r="AN35" s="4">
        <f t="shared" si="22"/>
        <v>0</v>
      </c>
    </row>
    <row r="36">
      <c r="I36" s="4">
        <f t="shared" si="1"/>
        <v>0</v>
      </c>
      <c r="J36" s="3">
        <v>200.0</v>
      </c>
      <c r="K36" s="4">
        <f t="shared" si="2"/>
        <v>0</v>
      </c>
      <c r="L36" s="4">
        <f t="shared" si="3"/>
        <v>0</v>
      </c>
      <c r="M36" s="3">
        <v>26.0</v>
      </c>
      <c r="P36" s="4">
        <f t="shared" si="4"/>
        <v>0</v>
      </c>
      <c r="Q36" s="4">
        <f t="shared" si="5"/>
        <v>0</v>
      </c>
      <c r="R36" s="4">
        <f t="shared" si="6"/>
        <v>0</v>
      </c>
      <c r="S36" s="4">
        <f t="shared" si="7"/>
        <v>0</v>
      </c>
      <c r="T36" s="4">
        <f t="shared" si="8"/>
        <v>0</v>
      </c>
      <c r="U36" s="3">
        <f t="shared" si="9"/>
        <v>0</v>
      </c>
      <c r="V36" s="4">
        <f t="shared" si="10"/>
        <v>0</v>
      </c>
      <c r="W36" s="4">
        <f t="shared" si="11"/>
        <v>0</v>
      </c>
      <c r="X36" s="4">
        <f t="shared" si="12"/>
        <v>0</v>
      </c>
      <c r="Y36" s="4">
        <f t="shared" si="13"/>
        <v>0</v>
      </c>
      <c r="Z36" s="4">
        <f t="shared" si="14"/>
        <v>0</v>
      </c>
      <c r="AA36" s="3">
        <v>0.0</v>
      </c>
      <c r="AC36" s="3">
        <v>250.0</v>
      </c>
      <c r="AF36" s="4">
        <f t="shared" si="15"/>
        <v>250</v>
      </c>
      <c r="AG36" s="4">
        <f t="shared" si="16"/>
        <v>-250</v>
      </c>
      <c r="AH36" s="4">
        <f t="shared" si="17"/>
        <v>0</v>
      </c>
      <c r="AI36" s="4">
        <f t="shared" si="18"/>
        <v>0</v>
      </c>
      <c r="AK36" s="4">
        <f t="shared" si="19"/>
        <v>0</v>
      </c>
      <c r="AL36" s="4">
        <f t="shared" si="20"/>
        <v>0</v>
      </c>
      <c r="AM36" s="4">
        <f t="shared" si="21"/>
        <v>0</v>
      </c>
      <c r="AN36" s="4">
        <f t="shared" si="22"/>
        <v>0</v>
      </c>
    </row>
    <row r="37">
      <c r="I37" s="4">
        <f t="shared" si="1"/>
        <v>0</v>
      </c>
      <c r="J37" s="3">
        <v>200.0</v>
      </c>
      <c r="K37" s="4">
        <f t="shared" si="2"/>
        <v>0</v>
      </c>
      <c r="L37" s="4">
        <f t="shared" si="3"/>
        <v>0</v>
      </c>
      <c r="M37" s="3">
        <v>26.0</v>
      </c>
      <c r="P37" s="4">
        <f t="shared" si="4"/>
        <v>0</v>
      </c>
      <c r="Q37" s="4">
        <f t="shared" si="5"/>
        <v>0</v>
      </c>
      <c r="R37" s="4">
        <f t="shared" si="6"/>
        <v>0</v>
      </c>
      <c r="S37" s="4">
        <f t="shared" si="7"/>
        <v>0</v>
      </c>
      <c r="T37" s="4">
        <f t="shared" si="8"/>
        <v>0</v>
      </c>
      <c r="U37" s="3">
        <f t="shared" si="9"/>
        <v>0</v>
      </c>
      <c r="V37" s="4">
        <f t="shared" si="10"/>
        <v>0</v>
      </c>
      <c r="W37" s="4">
        <f t="shared" si="11"/>
        <v>0</v>
      </c>
      <c r="X37" s="4">
        <f t="shared" si="12"/>
        <v>0</v>
      </c>
      <c r="Y37" s="4">
        <f t="shared" si="13"/>
        <v>0</v>
      </c>
      <c r="Z37" s="4">
        <f t="shared" si="14"/>
        <v>0</v>
      </c>
      <c r="AA37" s="3">
        <v>0.0</v>
      </c>
      <c r="AC37" s="3">
        <v>250.0</v>
      </c>
      <c r="AF37" s="4">
        <f t="shared" si="15"/>
        <v>250</v>
      </c>
      <c r="AG37" s="4">
        <f t="shared" si="16"/>
        <v>-250</v>
      </c>
      <c r="AH37" s="4">
        <f t="shared" si="17"/>
        <v>0</v>
      </c>
      <c r="AI37" s="4">
        <f t="shared" si="18"/>
        <v>0</v>
      </c>
      <c r="AK37" s="4">
        <f t="shared" si="19"/>
        <v>0</v>
      </c>
      <c r="AL37" s="4">
        <f t="shared" si="20"/>
        <v>0</v>
      </c>
      <c r="AM37" s="4">
        <f t="shared" si="21"/>
        <v>0</v>
      </c>
      <c r="AN37" s="4">
        <f t="shared" si="22"/>
        <v>0</v>
      </c>
    </row>
    <row r="38">
      <c r="I38" s="4">
        <f t="shared" si="1"/>
        <v>0</v>
      </c>
      <c r="J38" s="3">
        <v>200.0</v>
      </c>
      <c r="K38" s="4">
        <f t="shared" si="2"/>
        <v>0</v>
      </c>
      <c r="L38" s="4">
        <f t="shared" si="3"/>
        <v>0</v>
      </c>
      <c r="M38" s="3">
        <v>26.0</v>
      </c>
      <c r="P38" s="4">
        <f t="shared" si="4"/>
        <v>0</v>
      </c>
      <c r="Q38" s="4">
        <f t="shared" si="5"/>
        <v>0</v>
      </c>
      <c r="R38" s="4">
        <f t="shared" si="6"/>
        <v>0</v>
      </c>
      <c r="S38" s="4">
        <f t="shared" si="7"/>
        <v>0</v>
      </c>
      <c r="T38" s="4">
        <f t="shared" si="8"/>
        <v>0</v>
      </c>
      <c r="U38" s="3">
        <f t="shared" si="9"/>
        <v>0</v>
      </c>
      <c r="V38" s="4">
        <f t="shared" si="10"/>
        <v>0</v>
      </c>
      <c r="W38" s="4">
        <f t="shared" si="11"/>
        <v>0</v>
      </c>
      <c r="X38" s="4">
        <f t="shared" si="12"/>
        <v>0</v>
      </c>
      <c r="Y38" s="4">
        <f t="shared" si="13"/>
        <v>0</v>
      </c>
      <c r="Z38" s="4">
        <f t="shared" si="14"/>
        <v>0</v>
      </c>
      <c r="AA38" s="3">
        <v>0.0</v>
      </c>
      <c r="AC38" s="3">
        <v>250.0</v>
      </c>
      <c r="AF38" s="4">
        <f t="shared" si="15"/>
        <v>250</v>
      </c>
      <c r="AG38" s="4">
        <f t="shared" si="16"/>
        <v>-250</v>
      </c>
      <c r="AH38" s="4">
        <f t="shared" si="17"/>
        <v>0</v>
      </c>
      <c r="AI38" s="4">
        <f t="shared" si="18"/>
        <v>0</v>
      </c>
      <c r="AK38" s="4">
        <f t="shared" si="19"/>
        <v>0</v>
      </c>
      <c r="AL38" s="4">
        <f t="shared" si="20"/>
        <v>0</v>
      </c>
      <c r="AM38" s="4">
        <f t="shared" si="21"/>
        <v>0</v>
      </c>
      <c r="AN38" s="4">
        <f t="shared" si="22"/>
        <v>0</v>
      </c>
    </row>
    <row r="39">
      <c r="I39" s="4">
        <f t="shared" si="1"/>
        <v>0</v>
      </c>
      <c r="J39" s="3">
        <v>200.0</v>
      </c>
      <c r="K39" s="4">
        <f t="shared" si="2"/>
        <v>0</v>
      </c>
      <c r="L39" s="4">
        <f t="shared" si="3"/>
        <v>0</v>
      </c>
      <c r="M39" s="3">
        <v>26.0</v>
      </c>
      <c r="P39" s="4">
        <f t="shared" si="4"/>
        <v>0</v>
      </c>
      <c r="Q39" s="4">
        <f t="shared" si="5"/>
        <v>0</v>
      </c>
      <c r="R39" s="4">
        <f t="shared" si="6"/>
        <v>0</v>
      </c>
      <c r="S39" s="4">
        <f t="shared" si="7"/>
        <v>0</v>
      </c>
      <c r="T39" s="4">
        <f t="shared" si="8"/>
        <v>0</v>
      </c>
      <c r="U39" s="3">
        <f t="shared" si="9"/>
        <v>0</v>
      </c>
      <c r="V39" s="4">
        <f t="shared" si="10"/>
        <v>0</v>
      </c>
      <c r="W39" s="4">
        <f t="shared" si="11"/>
        <v>0</v>
      </c>
      <c r="X39" s="4">
        <f t="shared" si="12"/>
        <v>0</v>
      </c>
      <c r="Y39" s="4">
        <f t="shared" si="13"/>
        <v>0</v>
      </c>
      <c r="Z39" s="4">
        <f t="shared" si="14"/>
        <v>0</v>
      </c>
      <c r="AA39" s="3">
        <v>0.0</v>
      </c>
      <c r="AC39" s="3">
        <v>250.0</v>
      </c>
      <c r="AF39" s="4">
        <f t="shared" si="15"/>
        <v>250</v>
      </c>
      <c r="AG39" s="4">
        <f t="shared" si="16"/>
        <v>-250</v>
      </c>
      <c r="AH39" s="4">
        <f t="shared" si="17"/>
        <v>0</v>
      </c>
      <c r="AI39" s="4">
        <f t="shared" si="18"/>
        <v>0</v>
      </c>
      <c r="AK39" s="4">
        <f t="shared" si="19"/>
        <v>0</v>
      </c>
      <c r="AL39" s="4">
        <f t="shared" si="20"/>
        <v>0</v>
      </c>
      <c r="AM39" s="4">
        <f t="shared" si="21"/>
        <v>0</v>
      </c>
      <c r="AN39" s="4">
        <f t="shared" si="22"/>
        <v>0</v>
      </c>
    </row>
    <row r="40">
      <c r="I40" s="4">
        <f t="shared" si="1"/>
        <v>0</v>
      </c>
      <c r="J40" s="3">
        <v>200.0</v>
      </c>
      <c r="K40" s="4">
        <f t="shared" si="2"/>
        <v>0</v>
      </c>
      <c r="L40" s="4">
        <f t="shared" si="3"/>
        <v>0</v>
      </c>
      <c r="M40" s="3">
        <v>26.0</v>
      </c>
      <c r="P40" s="4">
        <f t="shared" si="4"/>
        <v>0</v>
      </c>
      <c r="Q40" s="4">
        <f t="shared" si="5"/>
        <v>0</v>
      </c>
      <c r="R40" s="4">
        <f t="shared" si="6"/>
        <v>0</v>
      </c>
      <c r="S40" s="4">
        <f t="shared" si="7"/>
        <v>0</v>
      </c>
      <c r="T40" s="4">
        <f t="shared" si="8"/>
        <v>0</v>
      </c>
      <c r="U40" s="3">
        <f t="shared" si="9"/>
        <v>0</v>
      </c>
      <c r="V40" s="4">
        <f t="shared" si="10"/>
        <v>0</v>
      </c>
      <c r="W40" s="4">
        <f t="shared" si="11"/>
        <v>0</v>
      </c>
      <c r="X40" s="4">
        <f t="shared" si="12"/>
        <v>0</v>
      </c>
      <c r="Y40" s="4">
        <f t="shared" si="13"/>
        <v>0</v>
      </c>
      <c r="Z40" s="4">
        <f t="shared" si="14"/>
        <v>0</v>
      </c>
      <c r="AA40" s="3">
        <v>0.0</v>
      </c>
      <c r="AC40" s="3">
        <v>250.0</v>
      </c>
      <c r="AF40" s="4">
        <f t="shared" si="15"/>
        <v>250</v>
      </c>
      <c r="AG40" s="4">
        <f t="shared" si="16"/>
        <v>-250</v>
      </c>
      <c r="AH40" s="4">
        <f t="shared" si="17"/>
        <v>0</v>
      </c>
      <c r="AI40" s="4">
        <f t="shared" si="18"/>
        <v>0</v>
      </c>
      <c r="AK40" s="4">
        <f t="shared" si="19"/>
        <v>0</v>
      </c>
      <c r="AL40" s="4">
        <f t="shared" si="20"/>
        <v>0</v>
      </c>
      <c r="AM40" s="4">
        <f t="shared" si="21"/>
        <v>0</v>
      </c>
      <c r="AN40" s="4">
        <f t="shared" si="22"/>
        <v>0</v>
      </c>
    </row>
    <row r="41">
      <c r="I41" s="4">
        <f t="shared" si="1"/>
        <v>0</v>
      </c>
      <c r="J41" s="3">
        <v>200.0</v>
      </c>
      <c r="K41" s="4">
        <f t="shared" si="2"/>
        <v>0</v>
      </c>
      <c r="L41" s="4">
        <f t="shared" si="3"/>
        <v>0</v>
      </c>
      <c r="M41" s="3">
        <v>26.0</v>
      </c>
      <c r="P41" s="4">
        <f t="shared" si="4"/>
        <v>0</v>
      </c>
      <c r="Q41" s="4">
        <f t="shared" si="5"/>
        <v>0</v>
      </c>
      <c r="R41" s="4">
        <f t="shared" si="6"/>
        <v>0</v>
      </c>
      <c r="S41" s="4">
        <f t="shared" si="7"/>
        <v>0</v>
      </c>
      <c r="T41" s="4">
        <f t="shared" si="8"/>
        <v>0</v>
      </c>
      <c r="U41" s="3">
        <f t="shared" si="9"/>
        <v>0</v>
      </c>
      <c r="V41" s="4">
        <f t="shared" si="10"/>
        <v>0</v>
      </c>
      <c r="W41" s="4">
        <f t="shared" si="11"/>
        <v>0</v>
      </c>
      <c r="X41" s="4">
        <f t="shared" si="12"/>
        <v>0</v>
      </c>
      <c r="Y41" s="4">
        <f t="shared" si="13"/>
        <v>0</v>
      </c>
      <c r="Z41" s="4">
        <f t="shared" si="14"/>
        <v>0</v>
      </c>
      <c r="AA41" s="3">
        <v>0.0</v>
      </c>
      <c r="AC41" s="3">
        <v>250.0</v>
      </c>
      <c r="AF41" s="4">
        <f t="shared" si="15"/>
        <v>250</v>
      </c>
      <c r="AG41" s="4">
        <f t="shared" si="16"/>
        <v>-250</v>
      </c>
      <c r="AH41" s="4">
        <f t="shared" si="17"/>
        <v>0</v>
      </c>
      <c r="AI41" s="4">
        <f t="shared" si="18"/>
        <v>0</v>
      </c>
      <c r="AK41" s="4">
        <f t="shared" si="19"/>
        <v>0</v>
      </c>
      <c r="AL41" s="4">
        <f t="shared" si="20"/>
        <v>0</v>
      </c>
      <c r="AM41" s="4">
        <f t="shared" si="21"/>
        <v>0</v>
      </c>
      <c r="AN41" s="4">
        <f t="shared" si="22"/>
        <v>0</v>
      </c>
    </row>
    <row r="42">
      <c r="I42" s="4">
        <f t="shared" si="1"/>
        <v>0</v>
      </c>
      <c r="J42" s="3">
        <v>200.0</v>
      </c>
      <c r="K42" s="4">
        <f t="shared" si="2"/>
        <v>0</v>
      </c>
      <c r="L42" s="4">
        <f t="shared" si="3"/>
        <v>0</v>
      </c>
      <c r="M42" s="3">
        <v>26.0</v>
      </c>
      <c r="P42" s="4">
        <f t="shared" si="4"/>
        <v>0</v>
      </c>
      <c r="Q42" s="4">
        <f t="shared" si="5"/>
        <v>0</v>
      </c>
      <c r="R42" s="4">
        <f t="shared" si="6"/>
        <v>0</v>
      </c>
      <c r="S42" s="4">
        <f t="shared" si="7"/>
        <v>0</v>
      </c>
      <c r="T42" s="4">
        <f t="shared" si="8"/>
        <v>0</v>
      </c>
      <c r="U42" s="3">
        <f t="shared" si="9"/>
        <v>0</v>
      </c>
      <c r="V42" s="4">
        <f t="shared" si="10"/>
        <v>0</v>
      </c>
      <c r="W42" s="4">
        <f t="shared" si="11"/>
        <v>0</v>
      </c>
      <c r="X42" s="4">
        <f t="shared" si="12"/>
        <v>0</v>
      </c>
      <c r="Y42" s="4">
        <f t="shared" si="13"/>
        <v>0</v>
      </c>
      <c r="Z42" s="4">
        <f t="shared" si="14"/>
        <v>0</v>
      </c>
      <c r="AA42" s="3">
        <v>0.0</v>
      </c>
      <c r="AC42" s="3">
        <v>250.0</v>
      </c>
      <c r="AF42" s="4">
        <f t="shared" si="15"/>
        <v>250</v>
      </c>
      <c r="AG42" s="4">
        <f t="shared" si="16"/>
        <v>-250</v>
      </c>
      <c r="AH42" s="4">
        <f t="shared" si="17"/>
        <v>0</v>
      </c>
      <c r="AI42" s="4">
        <f t="shared" si="18"/>
        <v>0</v>
      </c>
      <c r="AK42" s="4">
        <f t="shared" si="19"/>
        <v>0</v>
      </c>
      <c r="AL42" s="4">
        <f t="shared" si="20"/>
        <v>0</v>
      </c>
      <c r="AM42" s="4">
        <f t="shared" si="21"/>
        <v>0</v>
      </c>
      <c r="AN42" s="4">
        <f t="shared" si="22"/>
        <v>0</v>
      </c>
    </row>
    <row r="43">
      <c r="M43" s="3"/>
      <c r="AC4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63"/>
    <col customWidth="1" min="3" max="3" width="19.88"/>
    <col customWidth="1" min="4" max="4" width="11.38"/>
    <col customWidth="1" min="5" max="5" width="4.0"/>
    <col customWidth="1" min="6" max="6" width="9.13"/>
    <col customWidth="1" min="7" max="7" width="8.38"/>
    <col customWidth="1" min="8" max="8" width="4.63"/>
    <col customWidth="1" min="9" max="9" width="5.5"/>
    <col customWidth="1" min="10" max="10" width="6.75"/>
    <col customWidth="1" min="11" max="11" width="10.13"/>
    <col customWidth="1" min="12" max="12" width="14.75"/>
    <col customWidth="1" min="13" max="13" width="10.63"/>
    <col customWidth="1" min="14" max="14" width="8.13"/>
    <col customWidth="1" min="15" max="15" width="12.38"/>
    <col customWidth="1" min="16" max="16" width="5.5"/>
    <col customWidth="1" min="17" max="17" width="4.88"/>
    <col customWidth="1" min="18" max="19" width="5.5"/>
    <col customWidth="1" min="20" max="20" width="10.5"/>
    <col customWidth="1" min="21" max="21" width="5.5"/>
    <col customWidth="1" min="22" max="22" width="11.5"/>
    <col customWidth="1" min="23" max="23" width="8.25"/>
    <col customWidth="1" min="24" max="24" width="13.75"/>
    <col customWidth="1" min="25" max="25" width="15.5"/>
    <col customWidth="1" min="26" max="26" width="3.63"/>
    <col customWidth="1" min="27" max="27" width="4.0"/>
    <col customWidth="1" min="28" max="28" width="8.0"/>
    <col customWidth="1" min="29" max="29" width="14.63"/>
    <col customWidth="1" min="30" max="30" width="12.63"/>
    <col customWidth="1" min="31" max="31" width="6.75"/>
    <col customWidth="1" min="32" max="32" width="9.5"/>
    <col customWidth="1" min="33" max="33" width="6.5"/>
    <col customWidth="1" min="34" max="34" width="10.88"/>
    <col customWidth="1" min="35" max="35" width="12.63"/>
    <col customWidth="1" min="36" max="36" width="8.25"/>
    <col customWidth="1" min="37" max="37" width="6.75"/>
    <col customWidth="1" min="38" max="38" width="8.38"/>
    <col customWidth="1" min="39" max="39" width="14.63"/>
    <col customWidth="1" min="40" max="40" width="5.5"/>
    <col customWidth="1" min="41" max="41" width="15.5"/>
    <col customWidth="1" min="42" max="42" width="8.25"/>
    <col customWidth="1" min="43" max="43" width="11.63"/>
    <col customWidth="1" min="44" max="45" width="8.13"/>
  </cols>
  <sheetData>
    <row r="1">
      <c r="A1" s="1" t="s">
        <v>0</v>
      </c>
      <c r="B1" s="2" t="s">
        <v>1</v>
      </c>
      <c r="C1" s="3" t="s">
        <v>2</v>
      </c>
      <c r="D1" s="3" t="s">
        <v>4</v>
      </c>
      <c r="E1" s="3" t="s">
        <v>3</v>
      </c>
      <c r="F1" s="3" t="s">
        <v>5</v>
      </c>
      <c r="G1" s="3" t="s">
        <v>40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41</v>
      </c>
      <c r="O1" s="3" t="s">
        <v>14</v>
      </c>
      <c r="P1" s="3" t="s">
        <v>8</v>
      </c>
      <c r="Q1" s="3" t="s">
        <v>15</v>
      </c>
      <c r="R1" s="3" t="s">
        <v>16</v>
      </c>
      <c r="S1" s="3" t="s">
        <v>17</v>
      </c>
      <c r="T1" s="3" t="s">
        <v>42</v>
      </c>
      <c r="U1" s="3" t="s">
        <v>19</v>
      </c>
      <c r="V1" s="3" t="s">
        <v>43</v>
      </c>
      <c r="W1" s="3" t="s">
        <v>44</v>
      </c>
      <c r="X1" s="3" t="s">
        <v>45</v>
      </c>
      <c r="Y1" s="3" t="s">
        <v>46</v>
      </c>
      <c r="Z1" s="3" t="s">
        <v>47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9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9</v>
      </c>
      <c r="AL1" s="3" t="s">
        <v>48</v>
      </c>
      <c r="AM1" s="3" t="s">
        <v>35</v>
      </c>
      <c r="AN1" s="3" t="s">
        <v>36</v>
      </c>
      <c r="AO1" s="3" t="s">
        <v>37</v>
      </c>
      <c r="AP1" s="3" t="s">
        <v>49</v>
      </c>
      <c r="AQ1" s="3" t="s">
        <v>39</v>
      </c>
      <c r="AR1" s="3"/>
      <c r="AS1" s="3"/>
    </row>
    <row r="2">
      <c r="A2" s="5">
        <v>1.0</v>
      </c>
      <c r="B2" s="5">
        <v>907393.0</v>
      </c>
      <c r="C2" s="3" t="s">
        <v>50</v>
      </c>
      <c r="D2" s="3" t="s">
        <v>51</v>
      </c>
      <c r="F2" s="5">
        <v>5822.0</v>
      </c>
      <c r="G2" s="5">
        <v>7117.0</v>
      </c>
      <c r="H2" s="5">
        <v>0.0</v>
      </c>
      <c r="I2" s="4">
        <f t="shared" ref="I2:I42" si="1">ROUND(SUM(F2:H2),0)
</f>
        <v>12939</v>
      </c>
      <c r="J2" s="3">
        <v>200.0</v>
      </c>
      <c r="K2" s="4">
        <f t="shared" ref="K2:K42" si="2">ROUND(I2/26,0)
</f>
        <v>498</v>
      </c>
      <c r="L2" s="4">
        <f t="shared" ref="L2:L42" si="3">ROUND((I2/26)*1.25, 0)</f>
        <v>622</v>
      </c>
      <c r="M2" s="3">
        <v>26.0</v>
      </c>
      <c r="N2" s="5">
        <v>32.5</v>
      </c>
      <c r="O2" s="5">
        <v>24.0</v>
      </c>
      <c r="P2" s="4">
        <f t="shared" ref="P2:P42" si="4">ROUND(I2/M2*N2,0)
</f>
        <v>16174</v>
      </c>
      <c r="Q2" s="4">
        <f t="shared" ref="Q2:Q42" si="5">ROUND(F2/M2*N2,0)
</f>
        <v>7278</v>
      </c>
      <c r="R2" s="4">
        <f t="shared" ref="R2:R42" si="6">ROUND(G2/M2*N2,0)
</f>
        <v>8896</v>
      </c>
      <c r="S2" s="4">
        <f t="shared" ref="S2:S42" si="7">ROUND(H2/M2*N2,0)
</f>
        <v>0</v>
      </c>
      <c r="T2" s="4">
        <f t="shared" ref="T2:T42" si="8">ROUND(L2/M2*N2,0)
</f>
        <v>778</v>
      </c>
      <c r="U2" s="3">
        <f t="shared" ref="U2:U42" si="9">ROUND((Q2+R2)*8.33%,0)</f>
        <v>1347</v>
      </c>
      <c r="V2" s="4">
        <f t="shared" ref="V2:V42" si="10">ROUND(1000/26*O2,0)
</f>
        <v>923</v>
      </c>
      <c r="W2" s="4">
        <f t="shared" ref="W2:W42" si="11">SUM(Q2:V2)
</f>
        <v>19222</v>
      </c>
      <c r="X2" s="4">
        <f t="shared" ref="X2:X42" si="12">ROUND(SUM(Q2:R2)*12%,0)</f>
        <v>1941</v>
      </c>
      <c r="Y2" s="4">
        <f t="shared" ref="Y2:Y42" si="13">ROUND(SUM(Q2:U2)*0.75%,0)</f>
        <v>137</v>
      </c>
      <c r="Z2" s="4">
        <f t="shared" ref="Z2:Z42" si="14">ROUND(IF(AND(W2&gt;15000,W2&lt;20000),150,IF(W2&gt;=20000,200,0)),0)
</f>
        <v>150</v>
      </c>
      <c r="AA2" s="3">
        <v>0.0</v>
      </c>
      <c r="AC2" s="3">
        <v>250.0</v>
      </c>
      <c r="AF2" s="4">
        <f t="shared" ref="AF2:AF42" si="15">SUM(X2:AD2)</f>
        <v>2478</v>
      </c>
      <c r="AG2" s="4">
        <f t="shared" ref="AG2:AG42" si="16">ROUND((W2+AE2)-AF2,0)
</f>
        <v>16744</v>
      </c>
      <c r="AH2" s="4">
        <f t="shared" ref="AH2:AH42" si="17">ROUND(SUM(Q2:R2)*13%,0)
</f>
        <v>2103</v>
      </c>
      <c r="AI2" s="4">
        <f t="shared" ref="AI2:AI42" si="18">ROUND(SUM(Q2:U2)*3.25%,0)
</f>
        <v>595</v>
      </c>
      <c r="AJ2" s="3">
        <v>0.0</v>
      </c>
      <c r="AK2" s="4">
        <f t="shared" ref="AK2:AK42" si="19">ROUND(J2/26*N2,0)
</f>
        <v>250</v>
      </c>
      <c r="AL2" s="4">
        <f t="shared" ref="AL2:AL42" si="20">W2+AH2+AI2+AJ2+AK2
</f>
        <v>22170</v>
      </c>
      <c r="AM2" s="4">
        <f t="shared" ref="AM2:AM42" si="21">ROUND((AL2-V2-AJ2)*5%,0)
</f>
        <v>1062</v>
      </c>
      <c r="AN2" s="4">
        <f t="shared" ref="AN2:AN42" si="22">SUM(AL2:AM2)
</f>
        <v>23232</v>
      </c>
    </row>
    <row r="3">
      <c r="A3" s="5">
        <v>2.0</v>
      </c>
      <c r="B3" s="5">
        <v>907394.0</v>
      </c>
      <c r="C3" s="3" t="s">
        <v>52</v>
      </c>
      <c r="D3" s="3" t="s">
        <v>53</v>
      </c>
      <c r="F3" s="5">
        <v>6822.0</v>
      </c>
      <c r="G3" s="5">
        <v>8364.0</v>
      </c>
      <c r="H3" s="5">
        <v>2900.0</v>
      </c>
      <c r="I3" s="4">
        <f t="shared" si="1"/>
        <v>18086</v>
      </c>
      <c r="J3" s="3">
        <v>200.0</v>
      </c>
      <c r="K3" s="4">
        <f t="shared" si="2"/>
        <v>696</v>
      </c>
      <c r="L3" s="4">
        <f t="shared" si="3"/>
        <v>870</v>
      </c>
      <c r="M3" s="3">
        <v>26.0</v>
      </c>
      <c r="N3" s="5">
        <v>37.5</v>
      </c>
      <c r="O3" s="5">
        <v>23.0</v>
      </c>
      <c r="P3" s="4">
        <f t="shared" si="4"/>
        <v>26086</v>
      </c>
      <c r="Q3" s="4">
        <f t="shared" si="5"/>
        <v>9839</v>
      </c>
      <c r="R3" s="4">
        <f t="shared" si="6"/>
        <v>12063</v>
      </c>
      <c r="S3" s="4">
        <f t="shared" si="7"/>
        <v>4183</v>
      </c>
      <c r="T3" s="4">
        <f t="shared" si="8"/>
        <v>1255</v>
      </c>
      <c r="U3" s="3">
        <f t="shared" si="9"/>
        <v>1824</v>
      </c>
      <c r="V3" s="4">
        <f t="shared" si="10"/>
        <v>885</v>
      </c>
      <c r="W3" s="4">
        <f t="shared" si="11"/>
        <v>30049</v>
      </c>
      <c r="X3" s="4">
        <f t="shared" si="12"/>
        <v>2628</v>
      </c>
      <c r="Y3" s="4">
        <f t="shared" si="13"/>
        <v>219</v>
      </c>
      <c r="Z3" s="4">
        <f t="shared" si="14"/>
        <v>200</v>
      </c>
      <c r="AA3" s="3">
        <v>0.0</v>
      </c>
      <c r="AC3" s="3">
        <v>250.0</v>
      </c>
      <c r="AF3" s="4">
        <f t="shared" si="15"/>
        <v>3297</v>
      </c>
      <c r="AG3" s="4">
        <f t="shared" si="16"/>
        <v>26752</v>
      </c>
      <c r="AH3" s="4">
        <f t="shared" si="17"/>
        <v>2847</v>
      </c>
      <c r="AI3" s="4">
        <f t="shared" si="18"/>
        <v>948</v>
      </c>
      <c r="AK3" s="4">
        <f t="shared" si="19"/>
        <v>288</v>
      </c>
      <c r="AL3" s="4">
        <f t="shared" si="20"/>
        <v>34132</v>
      </c>
      <c r="AM3" s="4">
        <f t="shared" si="21"/>
        <v>1662</v>
      </c>
      <c r="AN3" s="4">
        <f t="shared" si="22"/>
        <v>35794</v>
      </c>
    </row>
    <row r="4">
      <c r="A4" s="5">
        <v>3.0</v>
      </c>
      <c r="B4" s="5">
        <v>907395.0</v>
      </c>
      <c r="C4" s="3" t="s">
        <v>54</v>
      </c>
      <c r="D4" s="3" t="s">
        <v>51</v>
      </c>
      <c r="F4" s="5">
        <v>5822.0</v>
      </c>
      <c r="G4" s="5">
        <v>7117.0</v>
      </c>
      <c r="H4" s="5">
        <v>0.0</v>
      </c>
      <c r="I4" s="4">
        <f t="shared" si="1"/>
        <v>12939</v>
      </c>
      <c r="J4" s="3">
        <v>200.0</v>
      </c>
      <c r="K4" s="4">
        <f t="shared" si="2"/>
        <v>498</v>
      </c>
      <c r="L4" s="4">
        <f t="shared" si="3"/>
        <v>622</v>
      </c>
      <c r="M4" s="3">
        <v>26.0</v>
      </c>
      <c r="N4" s="5">
        <v>8.5</v>
      </c>
      <c r="O4" s="5">
        <v>6.0</v>
      </c>
      <c r="P4" s="4">
        <f t="shared" si="4"/>
        <v>4230</v>
      </c>
      <c r="Q4" s="4">
        <f t="shared" si="5"/>
        <v>1903</v>
      </c>
      <c r="R4" s="4">
        <f t="shared" si="6"/>
        <v>2327</v>
      </c>
      <c r="S4" s="4">
        <f t="shared" si="7"/>
        <v>0</v>
      </c>
      <c r="T4" s="4">
        <f t="shared" si="8"/>
        <v>203</v>
      </c>
      <c r="U4" s="3">
        <f t="shared" si="9"/>
        <v>352</v>
      </c>
      <c r="V4" s="4">
        <f t="shared" si="10"/>
        <v>231</v>
      </c>
      <c r="W4" s="4">
        <f t="shared" si="11"/>
        <v>5016</v>
      </c>
      <c r="X4" s="4">
        <f t="shared" si="12"/>
        <v>508</v>
      </c>
      <c r="Y4" s="4">
        <f t="shared" si="13"/>
        <v>36</v>
      </c>
      <c r="Z4" s="4">
        <f t="shared" si="14"/>
        <v>0</v>
      </c>
      <c r="AA4" s="3">
        <v>0.0</v>
      </c>
      <c r="AC4" s="3">
        <v>250.0</v>
      </c>
      <c r="AF4" s="4">
        <f t="shared" si="15"/>
        <v>794</v>
      </c>
      <c r="AG4" s="4">
        <f t="shared" si="16"/>
        <v>4222</v>
      </c>
      <c r="AH4" s="4">
        <f t="shared" si="17"/>
        <v>550</v>
      </c>
      <c r="AI4" s="4">
        <f t="shared" si="18"/>
        <v>156</v>
      </c>
      <c r="AK4" s="4">
        <f t="shared" si="19"/>
        <v>65</v>
      </c>
      <c r="AL4" s="4">
        <f t="shared" si="20"/>
        <v>5787</v>
      </c>
      <c r="AM4" s="4">
        <f t="shared" si="21"/>
        <v>278</v>
      </c>
      <c r="AN4" s="4">
        <f t="shared" si="22"/>
        <v>6065</v>
      </c>
    </row>
    <row r="5">
      <c r="A5" s="5">
        <v>4.0</v>
      </c>
      <c r="B5" s="5">
        <v>907396.0</v>
      </c>
      <c r="C5" s="3" t="s">
        <v>55</v>
      </c>
      <c r="D5" s="3" t="s">
        <v>56</v>
      </c>
      <c r="F5" s="5">
        <v>6822.0</v>
      </c>
      <c r="G5" s="5">
        <v>8364.0</v>
      </c>
      <c r="H5" s="5">
        <v>0.0</v>
      </c>
      <c r="I5" s="4">
        <f t="shared" si="1"/>
        <v>15186</v>
      </c>
      <c r="J5" s="3">
        <v>200.0</v>
      </c>
      <c r="K5" s="4">
        <f t="shared" si="2"/>
        <v>584</v>
      </c>
      <c r="L5" s="4">
        <f t="shared" si="3"/>
        <v>730</v>
      </c>
      <c r="M5" s="3">
        <v>26.0</v>
      </c>
      <c r="N5" s="5">
        <v>26.0</v>
      </c>
      <c r="O5" s="5">
        <v>24.0</v>
      </c>
      <c r="P5" s="4">
        <f t="shared" si="4"/>
        <v>15186</v>
      </c>
      <c r="Q5" s="4">
        <f t="shared" si="5"/>
        <v>6822</v>
      </c>
      <c r="R5" s="4">
        <f t="shared" si="6"/>
        <v>8364</v>
      </c>
      <c r="S5" s="4">
        <f t="shared" si="7"/>
        <v>0</v>
      </c>
      <c r="T5" s="4">
        <f t="shared" si="8"/>
        <v>730</v>
      </c>
      <c r="U5" s="3">
        <f t="shared" si="9"/>
        <v>1265</v>
      </c>
      <c r="V5" s="4">
        <f t="shared" si="10"/>
        <v>923</v>
      </c>
      <c r="W5" s="4">
        <f t="shared" si="11"/>
        <v>18104</v>
      </c>
      <c r="X5" s="4">
        <f t="shared" si="12"/>
        <v>1822</v>
      </c>
      <c r="Y5" s="4">
        <f t="shared" si="13"/>
        <v>129</v>
      </c>
      <c r="Z5" s="4">
        <f t="shared" si="14"/>
        <v>150</v>
      </c>
      <c r="AA5" s="3">
        <v>0.0</v>
      </c>
      <c r="AC5" s="3">
        <v>250.0</v>
      </c>
      <c r="AF5" s="4">
        <f t="shared" si="15"/>
        <v>2351</v>
      </c>
      <c r="AG5" s="4">
        <f t="shared" si="16"/>
        <v>15753</v>
      </c>
      <c r="AH5" s="4">
        <f t="shared" si="17"/>
        <v>1974</v>
      </c>
      <c r="AI5" s="4">
        <f t="shared" si="18"/>
        <v>558</v>
      </c>
      <c r="AK5" s="4">
        <f t="shared" si="19"/>
        <v>200</v>
      </c>
      <c r="AL5" s="4">
        <f t="shared" si="20"/>
        <v>20836</v>
      </c>
      <c r="AM5" s="4">
        <f t="shared" si="21"/>
        <v>996</v>
      </c>
      <c r="AN5" s="4">
        <f t="shared" si="22"/>
        <v>21832</v>
      </c>
    </row>
    <row r="6">
      <c r="A6" s="5">
        <v>5.0</v>
      </c>
      <c r="B6" s="5">
        <v>907397.0</v>
      </c>
      <c r="C6" s="3" t="s">
        <v>57</v>
      </c>
      <c r="D6" s="3" t="s">
        <v>51</v>
      </c>
      <c r="F6" s="5">
        <v>5822.0</v>
      </c>
      <c r="G6" s="5">
        <v>7117.0</v>
      </c>
      <c r="H6" s="5">
        <v>0.0</v>
      </c>
      <c r="I6" s="4">
        <f t="shared" si="1"/>
        <v>12939</v>
      </c>
      <c r="J6" s="3">
        <v>200.0</v>
      </c>
      <c r="K6" s="4">
        <f t="shared" si="2"/>
        <v>498</v>
      </c>
      <c r="L6" s="4">
        <f t="shared" si="3"/>
        <v>622</v>
      </c>
      <c r="M6" s="3">
        <v>26.0</v>
      </c>
      <c r="N6" s="5">
        <v>34.5</v>
      </c>
      <c r="O6" s="5">
        <v>24.0</v>
      </c>
      <c r="P6" s="4">
        <f t="shared" si="4"/>
        <v>17169</v>
      </c>
      <c r="Q6" s="4">
        <f t="shared" si="5"/>
        <v>7725</v>
      </c>
      <c r="R6" s="4">
        <f t="shared" si="6"/>
        <v>9444</v>
      </c>
      <c r="S6" s="4">
        <f t="shared" si="7"/>
        <v>0</v>
      </c>
      <c r="T6" s="4">
        <f t="shared" si="8"/>
        <v>825</v>
      </c>
      <c r="U6" s="3">
        <f t="shared" si="9"/>
        <v>1430</v>
      </c>
      <c r="V6" s="4">
        <f t="shared" si="10"/>
        <v>923</v>
      </c>
      <c r="W6" s="4">
        <f t="shared" si="11"/>
        <v>20347</v>
      </c>
      <c r="X6" s="4">
        <f t="shared" si="12"/>
        <v>2060</v>
      </c>
      <c r="Y6" s="4">
        <f t="shared" si="13"/>
        <v>146</v>
      </c>
      <c r="Z6" s="4">
        <f t="shared" si="14"/>
        <v>200</v>
      </c>
      <c r="AA6" s="3">
        <v>0.0</v>
      </c>
      <c r="AC6" s="3">
        <v>250.0</v>
      </c>
      <c r="AF6" s="4">
        <f t="shared" si="15"/>
        <v>2656</v>
      </c>
      <c r="AG6" s="4">
        <f t="shared" si="16"/>
        <v>17691</v>
      </c>
      <c r="AH6" s="4">
        <f t="shared" si="17"/>
        <v>2232</v>
      </c>
      <c r="AI6" s="4">
        <f t="shared" si="18"/>
        <v>631</v>
      </c>
      <c r="AK6" s="4">
        <f t="shared" si="19"/>
        <v>265</v>
      </c>
      <c r="AL6" s="4">
        <f t="shared" si="20"/>
        <v>23475</v>
      </c>
      <c r="AM6" s="4">
        <f t="shared" si="21"/>
        <v>1128</v>
      </c>
      <c r="AN6" s="4">
        <f t="shared" si="22"/>
        <v>24603</v>
      </c>
    </row>
    <row r="7">
      <c r="A7" s="5">
        <v>6.0</v>
      </c>
      <c r="B7" s="5">
        <v>907398.0</v>
      </c>
      <c r="C7" s="3" t="s">
        <v>58</v>
      </c>
      <c r="D7" s="3" t="s">
        <v>51</v>
      </c>
      <c r="F7" s="5">
        <v>5822.0</v>
      </c>
      <c r="G7" s="5">
        <v>7117.0</v>
      </c>
      <c r="H7" s="5">
        <v>0.0</v>
      </c>
      <c r="I7" s="4">
        <f t="shared" si="1"/>
        <v>12939</v>
      </c>
      <c r="J7" s="3">
        <v>200.0</v>
      </c>
      <c r="K7" s="4">
        <f t="shared" si="2"/>
        <v>498</v>
      </c>
      <c r="L7" s="4">
        <f t="shared" si="3"/>
        <v>622</v>
      </c>
      <c r="M7" s="3">
        <v>26.0</v>
      </c>
      <c r="N7" s="5">
        <v>26.5</v>
      </c>
      <c r="O7" s="5">
        <v>26.0</v>
      </c>
      <c r="P7" s="4">
        <f t="shared" si="4"/>
        <v>13188</v>
      </c>
      <c r="Q7" s="4">
        <f t="shared" si="5"/>
        <v>5934</v>
      </c>
      <c r="R7" s="4">
        <f t="shared" si="6"/>
        <v>7254</v>
      </c>
      <c r="S7" s="4">
        <f t="shared" si="7"/>
        <v>0</v>
      </c>
      <c r="T7" s="4">
        <f t="shared" si="8"/>
        <v>634</v>
      </c>
      <c r="U7" s="3">
        <f t="shared" si="9"/>
        <v>1099</v>
      </c>
      <c r="V7" s="4">
        <f t="shared" si="10"/>
        <v>1000</v>
      </c>
      <c r="W7" s="4">
        <f t="shared" si="11"/>
        <v>15921</v>
      </c>
      <c r="X7" s="4">
        <f t="shared" si="12"/>
        <v>1583</v>
      </c>
      <c r="Y7" s="4">
        <f t="shared" si="13"/>
        <v>112</v>
      </c>
      <c r="Z7" s="4">
        <f t="shared" si="14"/>
        <v>150</v>
      </c>
      <c r="AA7" s="3">
        <v>0.0</v>
      </c>
      <c r="AC7" s="3">
        <v>250.0</v>
      </c>
      <c r="AF7" s="4">
        <f t="shared" si="15"/>
        <v>2095</v>
      </c>
      <c r="AG7" s="4">
        <f t="shared" si="16"/>
        <v>13826</v>
      </c>
      <c r="AH7" s="4">
        <f t="shared" si="17"/>
        <v>1714</v>
      </c>
      <c r="AI7" s="4">
        <f t="shared" si="18"/>
        <v>485</v>
      </c>
      <c r="AK7" s="4">
        <f t="shared" si="19"/>
        <v>204</v>
      </c>
      <c r="AL7" s="4">
        <f t="shared" si="20"/>
        <v>18324</v>
      </c>
      <c r="AM7" s="4">
        <f t="shared" si="21"/>
        <v>866</v>
      </c>
      <c r="AN7" s="4">
        <f t="shared" si="22"/>
        <v>19190</v>
      </c>
    </row>
    <row r="8">
      <c r="A8" s="5">
        <v>7.0</v>
      </c>
      <c r="B8" s="5">
        <v>907399.0</v>
      </c>
      <c r="C8" s="3" t="s">
        <v>59</v>
      </c>
      <c r="D8" s="3" t="s">
        <v>51</v>
      </c>
      <c r="F8" s="5">
        <v>5822.0</v>
      </c>
      <c r="G8" s="5">
        <v>7117.0</v>
      </c>
      <c r="H8" s="5">
        <v>0.0</v>
      </c>
      <c r="I8" s="4">
        <f t="shared" si="1"/>
        <v>12939</v>
      </c>
      <c r="J8" s="3">
        <v>200.0</v>
      </c>
      <c r="K8" s="4">
        <f t="shared" si="2"/>
        <v>498</v>
      </c>
      <c r="L8" s="4">
        <f t="shared" si="3"/>
        <v>622</v>
      </c>
      <c r="M8" s="3">
        <v>26.0</v>
      </c>
      <c r="N8" s="5">
        <v>32.5</v>
      </c>
      <c r="O8" s="5">
        <v>23.0</v>
      </c>
      <c r="P8" s="4">
        <f t="shared" si="4"/>
        <v>16174</v>
      </c>
      <c r="Q8" s="4">
        <f t="shared" si="5"/>
        <v>7278</v>
      </c>
      <c r="R8" s="4">
        <f t="shared" si="6"/>
        <v>8896</v>
      </c>
      <c r="S8" s="4">
        <f t="shared" si="7"/>
        <v>0</v>
      </c>
      <c r="T8" s="4">
        <f t="shared" si="8"/>
        <v>778</v>
      </c>
      <c r="U8" s="3">
        <f t="shared" si="9"/>
        <v>1347</v>
      </c>
      <c r="V8" s="4">
        <f t="shared" si="10"/>
        <v>885</v>
      </c>
      <c r="W8" s="4">
        <f t="shared" si="11"/>
        <v>19184</v>
      </c>
      <c r="X8" s="4">
        <f t="shared" si="12"/>
        <v>1941</v>
      </c>
      <c r="Y8" s="4">
        <f t="shared" si="13"/>
        <v>137</v>
      </c>
      <c r="Z8" s="4">
        <f t="shared" si="14"/>
        <v>150</v>
      </c>
      <c r="AA8" s="3">
        <v>0.0</v>
      </c>
      <c r="AC8" s="3">
        <v>250.0</v>
      </c>
      <c r="AF8" s="4">
        <f t="shared" si="15"/>
        <v>2478</v>
      </c>
      <c r="AG8" s="4">
        <f t="shared" si="16"/>
        <v>16706</v>
      </c>
      <c r="AH8" s="4">
        <f t="shared" si="17"/>
        <v>2103</v>
      </c>
      <c r="AI8" s="4">
        <f t="shared" si="18"/>
        <v>595</v>
      </c>
      <c r="AK8" s="4">
        <f t="shared" si="19"/>
        <v>250</v>
      </c>
      <c r="AL8" s="4">
        <f t="shared" si="20"/>
        <v>22132</v>
      </c>
      <c r="AM8" s="4">
        <f t="shared" si="21"/>
        <v>1062</v>
      </c>
      <c r="AN8" s="4">
        <f t="shared" si="22"/>
        <v>23194</v>
      </c>
    </row>
    <row r="9">
      <c r="A9" s="5">
        <v>8.0</v>
      </c>
      <c r="B9" s="5">
        <v>907400.0</v>
      </c>
      <c r="C9" s="3" t="s">
        <v>60</v>
      </c>
      <c r="D9" s="3" t="s">
        <v>51</v>
      </c>
      <c r="F9" s="5">
        <v>5822.0</v>
      </c>
      <c r="G9" s="5">
        <v>7117.0</v>
      </c>
      <c r="H9" s="5">
        <v>0.0</v>
      </c>
      <c r="I9" s="4">
        <f t="shared" si="1"/>
        <v>12939</v>
      </c>
      <c r="J9" s="3">
        <v>200.0</v>
      </c>
      <c r="K9" s="4">
        <f t="shared" si="2"/>
        <v>498</v>
      </c>
      <c r="L9" s="4">
        <f t="shared" si="3"/>
        <v>622</v>
      </c>
      <c r="M9" s="3">
        <v>26.0</v>
      </c>
      <c r="N9" s="5">
        <v>37.5</v>
      </c>
      <c r="O9" s="5">
        <v>25.0</v>
      </c>
      <c r="P9" s="4">
        <f t="shared" si="4"/>
        <v>18662</v>
      </c>
      <c r="Q9" s="4">
        <f t="shared" si="5"/>
        <v>8397</v>
      </c>
      <c r="R9" s="4">
        <f t="shared" si="6"/>
        <v>10265</v>
      </c>
      <c r="S9" s="4">
        <f t="shared" si="7"/>
        <v>0</v>
      </c>
      <c r="T9" s="4">
        <f t="shared" si="8"/>
        <v>897</v>
      </c>
      <c r="U9" s="3">
        <f t="shared" si="9"/>
        <v>1555</v>
      </c>
      <c r="V9" s="4">
        <f t="shared" si="10"/>
        <v>962</v>
      </c>
      <c r="W9" s="4">
        <f t="shared" si="11"/>
        <v>22076</v>
      </c>
      <c r="X9" s="4">
        <f t="shared" si="12"/>
        <v>2239</v>
      </c>
      <c r="Y9" s="4">
        <f t="shared" si="13"/>
        <v>158</v>
      </c>
      <c r="Z9" s="4">
        <f t="shared" si="14"/>
        <v>200</v>
      </c>
      <c r="AA9" s="3">
        <v>0.0</v>
      </c>
      <c r="AC9" s="3">
        <v>250.0</v>
      </c>
      <c r="AF9" s="4">
        <f t="shared" si="15"/>
        <v>2847</v>
      </c>
      <c r="AG9" s="4">
        <f t="shared" si="16"/>
        <v>19229</v>
      </c>
      <c r="AH9" s="4">
        <f t="shared" si="17"/>
        <v>2426</v>
      </c>
      <c r="AI9" s="4">
        <f t="shared" si="18"/>
        <v>686</v>
      </c>
      <c r="AK9" s="4">
        <f t="shared" si="19"/>
        <v>288</v>
      </c>
      <c r="AL9" s="4">
        <f t="shared" si="20"/>
        <v>25476</v>
      </c>
      <c r="AM9" s="4">
        <f t="shared" si="21"/>
        <v>1226</v>
      </c>
      <c r="AN9" s="4">
        <f t="shared" si="22"/>
        <v>26702</v>
      </c>
    </row>
    <row r="10">
      <c r="A10" s="5">
        <v>9.0</v>
      </c>
      <c r="B10" s="5">
        <v>907402.0</v>
      </c>
      <c r="C10" s="3" t="s">
        <v>61</v>
      </c>
      <c r="D10" s="3" t="s">
        <v>51</v>
      </c>
      <c r="F10" s="5">
        <v>5822.0</v>
      </c>
      <c r="G10" s="5">
        <v>7117.0</v>
      </c>
      <c r="H10" s="5">
        <v>0.0</v>
      </c>
      <c r="I10" s="4">
        <f t="shared" si="1"/>
        <v>12939</v>
      </c>
      <c r="J10" s="3">
        <v>200.0</v>
      </c>
      <c r="K10" s="4">
        <f t="shared" si="2"/>
        <v>498</v>
      </c>
      <c r="L10" s="4">
        <f t="shared" si="3"/>
        <v>622</v>
      </c>
      <c r="M10" s="3">
        <v>26.0</v>
      </c>
      <c r="N10" s="5">
        <v>37.5</v>
      </c>
      <c r="O10" s="5">
        <v>25.0</v>
      </c>
      <c r="P10" s="4">
        <f t="shared" si="4"/>
        <v>18662</v>
      </c>
      <c r="Q10" s="4">
        <f t="shared" si="5"/>
        <v>8397</v>
      </c>
      <c r="R10" s="4">
        <f t="shared" si="6"/>
        <v>10265</v>
      </c>
      <c r="S10" s="4">
        <f t="shared" si="7"/>
        <v>0</v>
      </c>
      <c r="T10" s="4">
        <f t="shared" si="8"/>
        <v>897</v>
      </c>
      <c r="U10" s="3">
        <f t="shared" si="9"/>
        <v>1555</v>
      </c>
      <c r="V10" s="4">
        <f t="shared" si="10"/>
        <v>962</v>
      </c>
      <c r="W10" s="4">
        <f t="shared" si="11"/>
        <v>22076</v>
      </c>
      <c r="X10" s="4">
        <f t="shared" si="12"/>
        <v>2239</v>
      </c>
      <c r="Y10" s="4">
        <f t="shared" si="13"/>
        <v>158</v>
      </c>
      <c r="Z10" s="4">
        <f t="shared" si="14"/>
        <v>200</v>
      </c>
      <c r="AA10" s="3">
        <v>0.0</v>
      </c>
      <c r="AC10" s="3">
        <v>250.0</v>
      </c>
      <c r="AF10" s="4">
        <f t="shared" si="15"/>
        <v>2847</v>
      </c>
      <c r="AG10" s="4">
        <f t="shared" si="16"/>
        <v>19229</v>
      </c>
      <c r="AH10" s="4">
        <f t="shared" si="17"/>
        <v>2426</v>
      </c>
      <c r="AI10" s="4">
        <f t="shared" si="18"/>
        <v>686</v>
      </c>
      <c r="AK10" s="4">
        <f t="shared" si="19"/>
        <v>288</v>
      </c>
      <c r="AL10" s="4">
        <f t="shared" si="20"/>
        <v>25476</v>
      </c>
      <c r="AM10" s="4">
        <f t="shared" si="21"/>
        <v>1226</v>
      </c>
      <c r="AN10" s="4">
        <f t="shared" si="22"/>
        <v>26702</v>
      </c>
    </row>
    <row r="11">
      <c r="A11" s="5">
        <v>10.0</v>
      </c>
      <c r="B11" s="5">
        <v>907403.0</v>
      </c>
      <c r="C11" s="3" t="s">
        <v>62</v>
      </c>
      <c r="D11" s="3" t="s">
        <v>51</v>
      </c>
      <c r="F11" s="5">
        <v>5822.0</v>
      </c>
      <c r="G11" s="5">
        <v>7117.0</v>
      </c>
      <c r="H11" s="5">
        <v>0.0</v>
      </c>
      <c r="I11" s="4">
        <f t="shared" si="1"/>
        <v>12939</v>
      </c>
      <c r="J11" s="3">
        <v>200.0</v>
      </c>
      <c r="K11" s="4">
        <f t="shared" si="2"/>
        <v>498</v>
      </c>
      <c r="L11" s="4">
        <f t="shared" si="3"/>
        <v>622</v>
      </c>
      <c r="M11" s="3">
        <v>26.0</v>
      </c>
      <c r="N11" s="5">
        <v>29.5</v>
      </c>
      <c r="O11" s="5">
        <v>22.0</v>
      </c>
      <c r="P11" s="4">
        <f t="shared" si="4"/>
        <v>14681</v>
      </c>
      <c r="Q11" s="4">
        <f t="shared" si="5"/>
        <v>6606</v>
      </c>
      <c r="R11" s="4">
        <f t="shared" si="6"/>
        <v>8075</v>
      </c>
      <c r="S11" s="4">
        <f t="shared" si="7"/>
        <v>0</v>
      </c>
      <c r="T11" s="4">
        <f t="shared" si="8"/>
        <v>706</v>
      </c>
      <c r="U11" s="3">
        <f t="shared" si="9"/>
        <v>1223</v>
      </c>
      <c r="V11" s="4">
        <f t="shared" si="10"/>
        <v>846</v>
      </c>
      <c r="W11" s="4">
        <f t="shared" si="11"/>
        <v>17456</v>
      </c>
      <c r="X11" s="4">
        <f t="shared" si="12"/>
        <v>1762</v>
      </c>
      <c r="Y11" s="4">
        <f t="shared" si="13"/>
        <v>125</v>
      </c>
      <c r="Z11" s="4">
        <f t="shared" si="14"/>
        <v>150</v>
      </c>
      <c r="AA11" s="3">
        <v>0.0</v>
      </c>
      <c r="AC11" s="3">
        <v>250.0</v>
      </c>
      <c r="AF11" s="4">
        <f t="shared" si="15"/>
        <v>2287</v>
      </c>
      <c r="AG11" s="4">
        <f t="shared" si="16"/>
        <v>15169</v>
      </c>
      <c r="AH11" s="4">
        <f t="shared" si="17"/>
        <v>1909</v>
      </c>
      <c r="AI11" s="4">
        <f t="shared" si="18"/>
        <v>540</v>
      </c>
      <c r="AK11" s="4">
        <f t="shared" si="19"/>
        <v>227</v>
      </c>
      <c r="AL11" s="4">
        <f t="shared" si="20"/>
        <v>20132</v>
      </c>
      <c r="AM11" s="4">
        <f t="shared" si="21"/>
        <v>964</v>
      </c>
      <c r="AN11" s="4">
        <f t="shared" si="22"/>
        <v>21096</v>
      </c>
    </row>
    <row r="12">
      <c r="A12" s="5">
        <v>11.0</v>
      </c>
      <c r="B12" s="5">
        <v>907404.0</v>
      </c>
      <c r="C12" s="3" t="s">
        <v>63</v>
      </c>
      <c r="D12" s="3" t="s">
        <v>51</v>
      </c>
      <c r="F12" s="5">
        <v>5822.0</v>
      </c>
      <c r="G12" s="5">
        <v>7117.0</v>
      </c>
      <c r="H12" s="5">
        <v>0.0</v>
      </c>
      <c r="I12" s="4">
        <f t="shared" si="1"/>
        <v>12939</v>
      </c>
      <c r="J12" s="3">
        <v>200.0</v>
      </c>
      <c r="K12" s="4">
        <f t="shared" si="2"/>
        <v>498</v>
      </c>
      <c r="L12" s="4">
        <f t="shared" si="3"/>
        <v>622</v>
      </c>
      <c r="M12" s="3">
        <v>26.0</v>
      </c>
      <c r="N12" s="5">
        <v>39.5</v>
      </c>
      <c r="O12" s="5">
        <v>26.0</v>
      </c>
      <c r="P12" s="4">
        <f t="shared" si="4"/>
        <v>19657</v>
      </c>
      <c r="Q12" s="4">
        <f t="shared" si="5"/>
        <v>8845</v>
      </c>
      <c r="R12" s="4">
        <f t="shared" si="6"/>
        <v>10812</v>
      </c>
      <c r="S12" s="4">
        <f t="shared" si="7"/>
        <v>0</v>
      </c>
      <c r="T12" s="4">
        <f t="shared" si="8"/>
        <v>945</v>
      </c>
      <c r="U12" s="3">
        <f t="shared" si="9"/>
        <v>1637</v>
      </c>
      <c r="V12" s="4">
        <f t="shared" si="10"/>
        <v>1000</v>
      </c>
      <c r="W12" s="4">
        <f t="shared" si="11"/>
        <v>23239</v>
      </c>
      <c r="X12" s="4">
        <f t="shared" si="12"/>
        <v>2359</v>
      </c>
      <c r="Y12" s="4">
        <f t="shared" si="13"/>
        <v>167</v>
      </c>
      <c r="Z12" s="4">
        <f t="shared" si="14"/>
        <v>200</v>
      </c>
      <c r="AA12" s="3">
        <v>0.0</v>
      </c>
      <c r="AC12" s="3">
        <v>250.0</v>
      </c>
      <c r="AF12" s="4">
        <f t="shared" si="15"/>
        <v>2976</v>
      </c>
      <c r="AG12" s="4">
        <f t="shared" si="16"/>
        <v>20263</v>
      </c>
      <c r="AH12" s="4">
        <f t="shared" si="17"/>
        <v>2555</v>
      </c>
      <c r="AI12" s="4">
        <f t="shared" si="18"/>
        <v>723</v>
      </c>
      <c r="AK12" s="4">
        <f t="shared" si="19"/>
        <v>304</v>
      </c>
      <c r="AL12" s="4">
        <f t="shared" si="20"/>
        <v>26821</v>
      </c>
      <c r="AM12" s="4">
        <f t="shared" si="21"/>
        <v>1291</v>
      </c>
      <c r="AN12" s="4">
        <f t="shared" si="22"/>
        <v>28112</v>
      </c>
    </row>
    <row r="13">
      <c r="A13" s="5">
        <v>12.0</v>
      </c>
      <c r="B13" s="5">
        <v>907405.0</v>
      </c>
      <c r="C13" s="3" t="s">
        <v>64</v>
      </c>
      <c r="D13" s="3" t="s">
        <v>51</v>
      </c>
      <c r="F13" s="5">
        <v>5822.0</v>
      </c>
      <c r="G13" s="5">
        <v>7117.0</v>
      </c>
      <c r="H13" s="5">
        <v>0.0</v>
      </c>
      <c r="I13" s="4">
        <f t="shared" si="1"/>
        <v>12939</v>
      </c>
      <c r="J13" s="3">
        <v>200.0</v>
      </c>
      <c r="K13" s="4">
        <f t="shared" si="2"/>
        <v>498</v>
      </c>
      <c r="L13" s="4">
        <f t="shared" si="3"/>
        <v>622</v>
      </c>
      <c r="M13" s="3">
        <v>26.0</v>
      </c>
      <c r="N13" s="5">
        <v>18.0</v>
      </c>
      <c r="O13" s="5">
        <v>11.0</v>
      </c>
      <c r="P13" s="4">
        <f t="shared" si="4"/>
        <v>8958</v>
      </c>
      <c r="Q13" s="4">
        <f t="shared" si="5"/>
        <v>4031</v>
      </c>
      <c r="R13" s="4">
        <f t="shared" si="6"/>
        <v>4927</v>
      </c>
      <c r="S13" s="4">
        <f t="shared" si="7"/>
        <v>0</v>
      </c>
      <c r="T13" s="4">
        <f t="shared" si="8"/>
        <v>431</v>
      </c>
      <c r="U13" s="3">
        <f t="shared" si="9"/>
        <v>746</v>
      </c>
      <c r="V13" s="4">
        <f t="shared" si="10"/>
        <v>423</v>
      </c>
      <c r="W13" s="4">
        <f t="shared" si="11"/>
        <v>10558</v>
      </c>
      <c r="X13" s="4">
        <f t="shared" si="12"/>
        <v>1075</v>
      </c>
      <c r="Y13" s="4">
        <f t="shared" si="13"/>
        <v>76</v>
      </c>
      <c r="Z13" s="4">
        <f t="shared" si="14"/>
        <v>0</v>
      </c>
      <c r="AA13" s="3">
        <v>0.0</v>
      </c>
      <c r="AC13" s="3">
        <v>250.0</v>
      </c>
      <c r="AF13" s="4">
        <f t="shared" si="15"/>
        <v>1401</v>
      </c>
      <c r="AG13" s="4">
        <f t="shared" si="16"/>
        <v>9157</v>
      </c>
      <c r="AH13" s="4">
        <f t="shared" si="17"/>
        <v>1165</v>
      </c>
      <c r="AI13" s="4">
        <f t="shared" si="18"/>
        <v>329</v>
      </c>
      <c r="AK13" s="4">
        <f t="shared" si="19"/>
        <v>138</v>
      </c>
      <c r="AL13" s="4">
        <f t="shared" si="20"/>
        <v>12190</v>
      </c>
      <c r="AM13" s="4">
        <f t="shared" si="21"/>
        <v>588</v>
      </c>
      <c r="AN13" s="4">
        <f t="shared" si="22"/>
        <v>12778</v>
      </c>
    </row>
    <row r="14">
      <c r="A14" s="5">
        <v>13.0</v>
      </c>
      <c r="B14" s="5">
        <v>907407.0</v>
      </c>
      <c r="C14" s="3" t="s">
        <v>65</v>
      </c>
      <c r="D14" s="3" t="s">
        <v>51</v>
      </c>
      <c r="F14" s="5">
        <v>5822.0</v>
      </c>
      <c r="G14" s="5">
        <v>7117.0</v>
      </c>
      <c r="H14" s="5">
        <v>0.0</v>
      </c>
      <c r="I14" s="4">
        <f t="shared" si="1"/>
        <v>12939</v>
      </c>
      <c r="J14" s="3">
        <v>200.0</v>
      </c>
      <c r="K14" s="4">
        <f t="shared" si="2"/>
        <v>498</v>
      </c>
      <c r="L14" s="4">
        <f t="shared" si="3"/>
        <v>622</v>
      </c>
      <c r="M14" s="3">
        <v>26.0</v>
      </c>
      <c r="N14" s="5">
        <v>39.0</v>
      </c>
      <c r="O14" s="5">
        <v>26.0</v>
      </c>
      <c r="P14" s="4">
        <f t="shared" si="4"/>
        <v>19409</v>
      </c>
      <c r="Q14" s="4">
        <f t="shared" si="5"/>
        <v>8733</v>
      </c>
      <c r="R14" s="4">
        <f t="shared" si="6"/>
        <v>10676</v>
      </c>
      <c r="S14" s="4">
        <f t="shared" si="7"/>
        <v>0</v>
      </c>
      <c r="T14" s="4">
        <f t="shared" si="8"/>
        <v>933</v>
      </c>
      <c r="U14" s="3">
        <f t="shared" si="9"/>
        <v>1617</v>
      </c>
      <c r="V14" s="4">
        <f t="shared" si="10"/>
        <v>1000</v>
      </c>
      <c r="W14" s="4">
        <f t="shared" si="11"/>
        <v>22959</v>
      </c>
      <c r="X14" s="4">
        <f t="shared" si="12"/>
        <v>2329</v>
      </c>
      <c r="Y14" s="4">
        <f t="shared" si="13"/>
        <v>165</v>
      </c>
      <c r="Z14" s="4">
        <f t="shared" si="14"/>
        <v>200</v>
      </c>
      <c r="AA14" s="3">
        <v>0.0</v>
      </c>
      <c r="AC14" s="3">
        <v>250.0</v>
      </c>
      <c r="AF14" s="4">
        <f t="shared" si="15"/>
        <v>2944</v>
      </c>
      <c r="AG14" s="4">
        <f t="shared" si="16"/>
        <v>20015</v>
      </c>
      <c r="AH14" s="4">
        <f t="shared" si="17"/>
        <v>2523</v>
      </c>
      <c r="AI14" s="4">
        <f t="shared" si="18"/>
        <v>714</v>
      </c>
      <c r="AK14" s="4">
        <f t="shared" si="19"/>
        <v>300</v>
      </c>
      <c r="AL14" s="4">
        <f t="shared" si="20"/>
        <v>26496</v>
      </c>
      <c r="AM14" s="4">
        <f t="shared" si="21"/>
        <v>1275</v>
      </c>
      <c r="AN14" s="4">
        <f t="shared" si="22"/>
        <v>27771</v>
      </c>
    </row>
    <row r="15">
      <c r="A15" s="5">
        <v>14.0</v>
      </c>
      <c r="B15" s="5">
        <v>907408.0</v>
      </c>
      <c r="C15" s="3" t="s">
        <v>66</v>
      </c>
      <c r="D15" s="3" t="s">
        <v>51</v>
      </c>
      <c r="F15" s="5">
        <v>5822.0</v>
      </c>
      <c r="G15" s="5">
        <v>7117.0</v>
      </c>
      <c r="H15" s="5">
        <v>0.0</v>
      </c>
      <c r="I15" s="4">
        <f t="shared" si="1"/>
        <v>12939</v>
      </c>
      <c r="J15" s="3">
        <v>200.0</v>
      </c>
      <c r="K15" s="4">
        <f t="shared" si="2"/>
        <v>498</v>
      </c>
      <c r="L15" s="4">
        <f t="shared" si="3"/>
        <v>622</v>
      </c>
      <c r="M15" s="3">
        <v>26.0</v>
      </c>
      <c r="N15" s="5">
        <v>38.0</v>
      </c>
      <c r="O15" s="5">
        <v>25.0</v>
      </c>
      <c r="P15" s="4">
        <f t="shared" si="4"/>
        <v>18911</v>
      </c>
      <c r="Q15" s="4">
        <f t="shared" si="5"/>
        <v>8509</v>
      </c>
      <c r="R15" s="4">
        <f t="shared" si="6"/>
        <v>10402</v>
      </c>
      <c r="S15" s="4">
        <f t="shared" si="7"/>
        <v>0</v>
      </c>
      <c r="T15" s="4">
        <f t="shared" si="8"/>
        <v>909</v>
      </c>
      <c r="U15" s="3">
        <f t="shared" si="9"/>
        <v>1575</v>
      </c>
      <c r="V15" s="4">
        <f t="shared" si="10"/>
        <v>962</v>
      </c>
      <c r="W15" s="4">
        <f t="shared" si="11"/>
        <v>22357</v>
      </c>
      <c r="X15" s="4">
        <f t="shared" si="12"/>
        <v>2269</v>
      </c>
      <c r="Y15" s="4">
        <f t="shared" si="13"/>
        <v>160</v>
      </c>
      <c r="Z15" s="4">
        <f t="shared" si="14"/>
        <v>200</v>
      </c>
      <c r="AA15" s="3">
        <v>0.0</v>
      </c>
      <c r="AC15" s="3">
        <v>250.0</v>
      </c>
      <c r="AF15" s="4">
        <f t="shared" si="15"/>
        <v>2879</v>
      </c>
      <c r="AG15" s="4">
        <f t="shared" si="16"/>
        <v>19478</v>
      </c>
      <c r="AH15" s="4">
        <f t="shared" si="17"/>
        <v>2458</v>
      </c>
      <c r="AI15" s="4">
        <f t="shared" si="18"/>
        <v>695</v>
      </c>
      <c r="AK15" s="4">
        <f t="shared" si="19"/>
        <v>292</v>
      </c>
      <c r="AL15" s="4">
        <f t="shared" si="20"/>
        <v>25802</v>
      </c>
      <c r="AM15" s="4">
        <f t="shared" si="21"/>
        <v>1242</v>
      </c>
      <c r="AN15" s="4">
        <f t="shared" si="22"/>
        <v>27044</v>
      </c>
    </row>
    <row r="16">
      <c r="A16" s="5">
        <v>15.0</v>
      </c>
      <c r="B16" s="5">
        <v>907409.0</v>
      </c>
      <c r="C16" s="3" t="s">
        <v>67</v>
      </c>
      <c r="D16" s="3" t="s">
        <v>51</v>
      </c>
      <c r="F16" s="5">
        <v>5822.0</v>
      </c>
      <c r="G16" s="5">
        <v>7117.0</v>
      </c>
      <c r="H16" s="5">
        <v>0.0</v>
      </c>
      <c r="I16" s="4">
        <f t="shared" si="1"/>
        <v>12939</v>
      </c>
      <c r="J16" s="3">
        <v>200.0</v>
      </c>
      <c r="K16" s="4">
        <f t="shared" si="2"/>
        <v>498</v>
      </c>
      <c r="L16" s="4">
        <f t="shared" si="3"/>
        <v>622</v>
      </c>
      <c r="M16" s="3">
        <v>26.0</v>
      </c>
      <c r="N16" s="5">
        <v>41.0</v>
      </c>
      <c r="O16" s="5">
        <v>26.0</v>
      </c>
      <c r="P16" s="4">
        <f t="shared" si="4"/>
        <v>20404</v>
      </c>
      <c r="Q16" s="4">
        <f t="shared" si="5"/>
        <v>9181</v>
      </c>
      <c r="R16" s="4">
        <f t="shared" si="6"/>
        <v>11223</v>
      </c>
      <c r="S16" s="4">
        <f t="shared" si="7"/>
        <v>0</v>
      </c>
      <c r="T16" s="4">
        <f t="shared" si="8"/>
        <v>981</v>
      </c>
      <c r="U16" s="3">
        <f t="shared" si="9"/>
        <v>1700</v>
      </c>
      <c r="V16" s="4">
        <f t="shared" si="10"/>
        <v>1000</v>
      </c>
      <c r="W16" s="4">
        <f t="shared" si="11"/>
        <v>24085</v>
      </c>
      <c r="X16" s="4">
        <f t="shared" si="12"/>
        <v>2448</v>
      </c>
      <c r="Y16" s="4">
        <f t="shared" si="13"/>
        <v>173</v>
      </c>
      <c r="Z16" s="4">
        <f t="shared" si="14"/>
        <v>200</v>
      </c>
      <c r="AA16" s="3">
        <v>0.0</v>
      </c>
      <c r="AC16" s="3">
        <v>250.0</v>
      </c>
      <c r="AF16" s="4">
        <f t="shared" si="15"/>
        <v>3071</v>
      </c>
      <c r="AG16" s="4">
        <f t="shared" si="16"/>
        <v>21014</v>
      </c>
      <c r="AH16" s="4">
        <f t="shared" si="17"/>
        <v>2653</v>
      </c>
      <c r="AI16" s="4">
        <f t="shared" si="18"/>
        <v>750</v>
      </c>
      <c r="AK16" s="4">
        <f t="shared" si="19"/>
        <v>315</v>
      </c>
      <c r="AL16" s="4">
        <f t="shared" si="20"/>
        <v>27803</v>
      </c>
      <c r="AM16" s="4">
        <f t="shared" si="21"/>
        <v>1340</v>
      </c>
      <c r="AN16" s="4">
        <f t="shared" si="22"/>
        <v>29143</v>
      </c>
    </row>
    <row r="17">
      <c r="A17" s="5">
        <v>16.0</v>
      </c>
      <c r="B17" s="5">
        <v>907410.0</v>
      </c>
      <c r="C17" s="3" t="s">
        <v>68</v>
      </c>
      <c r="D17" s="3" t="s">
        <v>51</v>
      </c>
      <c r="F17" s="5">
        <v>5822.0</v>
      </c>
      <c r="G17" s="5">
        <v>7117.0</v>
      </c>
      <c r="H17" s="5">
        <v>0.0</v>
      </c>
      <c r="I17" s="4">
        <f t="shared" si="1"/>
        <v>12939</v>
      </c>
      <c r="J17" s="3">
        <v>200.0</v>
      </c>
      <c r="K17" s="4">
        <f t="shared" si="2"/>
        <v>498</v>
      </c>
      <c r="L17" s="4">
        <f t="shared" si="3"/>
        <v>622</v>
      </c>
      <c r="M17" s="3">
        <v>26.0</v>
      </c>
      <c r="N17" s="5">
        <v>37.5</v>
      </c>
      <c r="O17" s="5">
        <v>25.0</v>
      </c>
      <c r="P17" s="4">
        <f t="shared" si="4"/>
        <v>18662</v>
      </c>
      <c r="Q17" s="4">
        <f t="shared" si="5"/>
        <v>8397</v>
      </c>
      <c r="R17" s="4">
        <f t="shared" si="6"/>
        <v>10265</v>
      </c>
      <c r="S17" s="4">
        <f t="shared" si="7"/>
        <v>0</v>
      </c>
      <c r="T17" s="4">
        <f t="shared" si="8"/>
        <v>897</v>
      </c>
      <c r="U17" s="3">
        <f t="shared" si="9"/>
        <v>1555</v>
      </c>
      <c r="V17" s="4">
        <f t="shared" si="10"/>
        <v>962</v>
      </c>
      <c r="W17" s="4">
        <f t="shared" si="11"/>
        <v>22076</v>
      </c>
      <c r="X17" s="4">
        <f t="shared" si="12"/>
        <v>2239</v>
      </c>
      <c r="Y17" s="4">
        <f t="shared" si="13"/>
        <v>158</v>
      </c>
      <c r="Z17" s="4">
        <f t="shared" si="14"/>
        <v>200</v>
      </c>
      <c r="AA17" s="3">
        <v>0.0</v>
      </c>
      <c r="AC17" s="3">
        <v>250.0</v>
      </c>
      <c r="AF17" s="4">
        <f t="shared" si="15"/>
        <v>2847</v>
      </c>
      <c r="AG17" s="4">
        <f t="shared" si="16"/>
        <v>19229</v>
      </c>
      <c r="AH17" s="4">
        <f t="shared" si="17"/>
        <v>2426</v>
      </c>
      <c r="AI17" s="4">
        <f t="shared" si="18"/>
        <v>686</v>
      </c>
      <c r="AK17" s="4">
        <f t="shared" si="19"/>
        <v>288</v>
      </c>
      <c r="AL17" s="4">
        <f t="shared" si="20"/>
        <v>25476</v>
      </c>
      <c r="AM17" s="4">
        <f t="shared" si="21"/>
        <v>1226</v>
      </c>
      <c r="AN17" s="4">
        <f t="shared" si="22"/>
        <v>26702</v>
      </c>
    </row>
    <row r="18">
      <c r="A18" s="5">
        <v>17.0</v>
      </c>
      <c r="B18" s="5">
        <v>907411.0</v>
      </c>
      <c r="C18" s="3" t="s">
        <v>69</v>
      </c>
      <c r="D18" s="3" t="s">
        <v>51</v>
      </c>
      <c r="F18" s="5">
        <v>5822.0</v>
      </c>
      <c r="G18" s="5">
        <v>7117.0</v>
      </c>
      <c r="H18" s="5">
        <v>0.0</v>
      </c>
      <c r="I18" s="4">
        <f t="shared" si="1"/>
        <v>12939</v>
      </c>
      <c r="J18" s="3">
        <v>200.0</v>
      </c>
      <c r="K18" s="4">
        <f t="shared" si="2"/>
        <v>498</v>
      </c>
      <c r="L18" s="4">
        <f t="shared" si="3"/>
        <v>622</v>
      </c>
      <c r="M18" s="3">
        <v>26.0</v>
      </c>
      <c r="N18" s="5">
        <v>40.5</v>
      </c>
      <c r="O18" s="5">
        <v>26.0</v>
      </c>
      <c r="P18" s="4">
        <f t="shared" si="4"/>
        <v>20155</v>
      </c>
      <c r="Q18" s="4">
        <f t="shared" si="5"/>
        <v>9069</v>
      </c>
      <c r="R18" s="4">
        <f t="shared" si="6"/>
        <v>11086</v>
      </c>
      <c r="S18" s="4">
        <f t="shared" si="7"/>
        <v>0</v>
      </c>
      <c r="T18" s="4">
        <f t="shared" si="8"/>
        <v>969</v>
      </c>
      <c r="U18" s="3">
        <f t="shared" si="9"/>
        <v>1679</v>
      </c>
      <c r="V18" s="4">
        <f t="shared" si="10"/>
        <v>1000</v>
      </c>
      <c r="W18" s="4">
        <f t="shared" si="11"/>
        <v>23803</v>
      </c>
      <c r="X18" s="4">
        <f t="shared" si="12"/>
        <v>2419</v>
      </c>
      <c r="Y18" s="4">
        <f t="shared" si="13"/>
        <v>171</v>
      </c>
      <c r="Z18" s="4">
        <f t="shared" si="14"/>
        <v>200</v>
      </c>
      <c r="AA18" s="3">
        <v>0.0</v>
      </c>
      <c r="AC18" s="3">
        <v>250.0</v>
      </c>
      <c r="AF18" s="4">
        <f t="shared" si="15"/>
        <v>3040</v>
      </c>
      <c r="AG18" s="4">
        <f t="shared" si="16"/>
        <v>20763</v>
      </c>
      <c r="AH18" s="4">
        <f t="shared" si="17"/>
        <v>2620</v>
      </c>
      <c r="AI18" s="4">
        <f t="shared" si="18"/>
        <v>741</v>
      </c>
      <c r="AK18" s="4">
        <f t="shared" si="19"/>
        <v>312</v>
      </c>
      <c r="AL18" s="4">
        <f t="shared" si="20"/>
        <v>27476</v>
      </c>
      <c r="AM18" s="4">
        <f t="shared" si="21"/>
        <v>1324</v>
      </c>
      <c r="AN18" s="4">
        <f t="shared" si="22"/>
        <v>28800</v>
      </c>
    </row>
    <row r="19">
      <c r="A19" s="5">
        <v>18.0</v>
      </c>
      <c r="B19" s="5">
        <v>907413.0</v>
      </c>
      <c r="C19" s="3" t="s">
        <v>70</v>
      </c>
      <c r="D19" s="3" t="s">
        <v>51</v>
      </c>
      <c r="F19" s="5">
        <v>5822.0</v>
      </c>
      <c r="G19" s="5">
        <v>7117.0</v>
      </c>
      <c r="H19" s="5">
        <v>0.0</v>
      </c>
      <c r="I19" s="4">
        <f t="shared" si="1"/>
        <v>12939</v>
      </c>
      <c r="J19" s="3">
        <v>200.0</v>
      </c>
      <c r="K19" s="4">
        <f t="shared" si="2"/>
        <v>498</v>
      </c>
      <c r="L19" s="4">
        <f t="shared" si="3"/>
        <v>622</v>
      </c>
      <c r="M19" s="3">
        <v>26.0</v>
      </c>
      <c r="N19" s="5">
        <v>42.0</v>
      </c>
      <c r="O19" s="5">
        <v>26.0</v>
      </c>
      <c r="P19" s="4">
        <f t="shared" si="4"/>
        <v>20901</v>
      </c>
      <c r="Q19" s="4">
        <f t="shared" si="5"/>
        <v>9405</v>
      </c>
      <c r="R19" s="4">
        <f t="shared" si="6"/>
        <v>11497</v>
      </c>
      <c r="S19" s="4">
        <f t="shared" si="7"/>
        <v>0</v>
      </c>
      <c r="T19" s="4">
        <f t="shared" si="8"/>
        <v>1005</v>
      </c>
      <c r="U19" s="3">
        <f t="shared" si="9"/>
        <v>1741</v>
      </c>
      <c r="V19" s="4">
        <f t="shared" si="10"/>
        <v>1000</v>
      </c>
      <c r="W19" s="4">
        <f t="shared" si="11"/>
        <v>24648</v>
      </c>
      <c r="X19" s="4">
        <f t="shared" si="12"/>
        <v>2508</v>
      </c>
      <c r="Y19" s="4">
        <f t="shared" si="13"/>
        <v>177</v>
      </c>
      <c r="Z19" s="4">
        <f t="shared" si="14"/>
        <v>200</v>
      </c>
      <c r="AA19" s="3">
        <v>0.0</v>
      </c>
      <c r="AC19" s="3">
        <v>250.0</v>
      </c>
      <c r="AF19" s="4">
        <f t="shared" si="15"/>
        <v>3135</v>
      </c>
      <c r="AG19" s="4">
        <f t="shared" si="16"/>
        <v>21513</v>
      </c>
      <c r="AH19" s="4">
        <f t="shared" si="17"/>
        <v>2717</v>
      </c>
      <c r="AI19" s="4">
        <f t="shared" si="18"/>
        <v>769</v>
      </c>
      <c r="AK19" s="4">
        <f t="shared" si="19"/>
        <v>323</v>
      </c>
      <c r="AL19" s="4">
        <f t="shared" si="20"/>
        <v>28457</v>
      </c>
      <c r="AM19" s="4">
        <f t="shared" si="21"/>
        <v>1373</v>
      </c>
      <c r="AN19" s="4">
        <f t="shared" si="22"/>
        <v>29830</v>
      </c>
    </row>
    <row r="20">
      <c r="A20" s="5">
        <v>19.0</v>
      </c>
      <c r="B20" s="5">
        <v>907414.0</v>
      </c>
      <c r="C20" s="3" t="s">
        <v>71</v>
      </c>
      <c r="D20" s="3" t="s">
        <v>51</v>
      </c>
      <c r="F20" s="5">
        <v>5822.0</v>
      </c>
      <c r="G20" s="5">
        <v>7117.0</v>
      </c>
      <c r="H20" s="5">
        <v>0.0</v>
      </c>
      <c r="I20" s="4">
        <f t="shared" si="1"/>
        <v>12939</v>
      </c>
      <c r="J20" s="3">
        <v>200.0</v>
      </c>
      <c r="K20" s="4">
        <f t="shared" si="2"/>
        <v>498</v>
      </c>
      <c r="L20" s="4">
        <f t="shared" si="3"/>
        <v>622</v>
      </c>
      <c r="M20" s="3">
        <v>26.0</v>
      </c>
      <c r="N20" s="5">
        <v>39.0</v>
      </c>
      <c r="O20" s="5">
        <v>26.0</v>
      </c>
      <c r="P20" s="4">
        <f t="shared" si="4"/>
        <v>19409</v>
      </c>
      <c r="Q20" s="4">
        <f t="shared" si="5"/>
        <v>8733</v>
      </c>
      <c r="R20" s="4">
        <f t="shared" si="6"/>
        <v>10676</v>
      </c>
      <c r="S20" s="4">
        <f t="shared" si="7"/>
        <v>0</v>
      </c>
      <c r="T20" s="4">
        <f t="shared" si="8"/>
        <v>933</v>
      </c>
      <c r="U20" s="3">
        <f t="shared" si="9"/>
        <v>1617</v>
      </c>
      <c r="V20" s="4">
        <f t="shared" si="10"/>
        <v>1000</v>
      </c>
      <c r="W20" s="4">
        <f t="shared" si="11"/>
        <v>22959</v>
      </c>
      <c r="X20" s="4">
        <f t="shared" si="12"/>
        <v>2329</v>
      </c>
      <c r="Y20" s="4">
        <f t="shared" si="13"/>
        <v>165</v>
      </c>
      <c r="Z20" s="4">
        <f t="shared" si="14"/>
        <v>200</v>
      </c>
      <c r="AA20" s="3">
        <v>0.0</v>
      </c>
      <c r="AC20" s="3">
        <v>250.0</v>
      </c>
      <c r="AF20" s="4">
        <f t="shared" si="15"/>
        <v>2944</v>
      </c>
      <c r="AG20" s="4">
        <f t="shared" si="16"/>
        <v>20015</v>
      </c>
      <c r="AH20" s="4">
        <f t="shared" si="17"/>
        <v>2523</v>
      </c>
      <c r="AI20" s="4">
        <f t="shared" si="18"/>
        <v>714</v>
      </c>
      <c r="AK20" s="4">
        <f t="shared" si="19"/>
        <v>300</v>
      </c>
      <c r="AL20" s="4">
        <f t="shared" si="20"/>
        <v>26496</v>
      </c>
      <c r="AM20" s="4">
        <f t="shared" si="21"/>
        <v>1275</v>
      </c>
      <c r="AN20" s="4">
        <f t="shared" si="22"/>
        <v>27771</v>
      </c>
    </row>
    <row r="21">
      <c r="A21" s="5">
        <v>20.0</v>
      </c>
      <c r="B21" s="5">
        <v>907415.0</v>
      </c>
      <c r="C21" s="3" t="s">
        <v>72</v>
      </c>
      <c r="D21" s="3" t="s">
        <v>51</v>
      </c>
      <c r="F21" s="5">
        <v>5822.0</v>
      </c>
      <c r="G21" s="5">
        <v>7117.0</v>
      </c>
      <c r="H21" s="5">
        <v>0.0</v>
      </c>
      <c r="I21" s="4">
        <f t="shared" si="1"/>
        <v>12939</v>
      </c>
      <c r="J21" s="3">
        <v>200.0</v>
      </c>
      <c r="K21" s="4">
        <f t="shared" si="2"/>
        <v>498</v>
      </c>
      <c r="L21" s="4">
        <f t="shared" si="3"/>
        <v>622</v>
      </c>
      <c r="M21" s="3">
        <v>26.0</v>
      </c>
      <c r="N21" s="5">
        <v>34.0</v>
      </c>
      <c r="O21" s="5">
        <v>24.0</v>
      </c>
      <c r="P21" s="4">
        <f t="shared" si="4"/>
        <v>16920</v>
      </c>
      <c r="Q21" s="4">
        <f t="shared" si="5"/>
        <v>7613</v>
      </c>
      <c r="R21" s="4">
        <f t="shared" si="6"/>
        <v>9307</v>
      </c>
      <c r="S21" s="4">
        <f t="shared" si="7"/>
        <v>0</v>
      </c>
      <c r="T21" s="4">
        <f t="shared" si="8"/>
        <v>813</v>
      </c>
      <c r="U21" s="3">
        <f t="shared" si="9"/>
        <v>1409</v>
      </c>
      <c r="V21" s="4">
        <f t="shared" si="10"/>
        <v>923</v>
      </c>
      <c r="W21" s="4">
        <f t="shared" si="11"/>
        <v>20065</v>
      </c>
      <c r="X21" s="4">
        <f t="shared" si="12"/>
        <v>2030</v>
      </c>
      <c r="Y21" s="4">
        <f t="shared" si="13"/>
        <v>144</v>
      </c>
      <c r="Z21" s="4">
        <f t="shared" si="14"/>
        <v>200</v>
      </c>
      <c r="AA21" s="3">
        <v>0.0</v>
      </c>
      <c r="AC21" s="3">
        <v>250.0</v>
      </c>
      <c r="AF21" s="4">
        <f t="shared" si="15"/>
        <v>2624</v>
      </c>
      <c r="AG21" s="4">
        <f t="shared" si="16"/>
        <v>17441</v>
      </c>
      <c r="AH21" s="4">
        <f t="shared" si="17"/>
        <v>2200</v>
      </c>
      <c r="AI21" s="4">
        <f t="shared" si="18"/>
        <v>622</v>
      </c>
      <c r="AK21" s="4">
        <f t="shared" si="19"/>
        <v>262</v>
      </c>
      <c r="AL21" s="4">
        <f t="shared" si="20"/>
        <v>23149</v>
      </c>
      <c r="AM21" s="4">
        <f t="shared" si="21"/>
        <v>1111</v>
      </c>
      <c r="AN21" s="4">
        <f t="shared" si="22"/>
        <v>24260</v>
      </c>
    </row>
    <row r="22">
      <c r="A22" s="5">
        <v>21.0</v>
      </c>
      <c r="B22" s="5">
        <v>907417.0</v>
      </c>
      <c r="C22" s="3" t="s">
        <v>73</v>
      </c>
      <c r="D22" s="3" t="s">
        <v>51</v>
      </c>
      <c r="F22" s="5">
        <v>5822.0</v>
      </c>
      <c r="G22" s="5">
        <v>7117.0</v>
      </c>
      <c r="H22" s="5">
        <v>0.0</v>
      </c>
      <c r="I22" s="4">
        <f t="shared" si="1"/>
        <v>12939</v>
      </c>
      <c r="J22" s="3">
        <v>200.0</v>
      </c>
      <c r="K22" s="4">
        <f t="shared" si="2"/>
        <v>498</v>
      </c>
      <c r="L22" s="4">
        <f t="shared" si="3"/>
        <v>622</v>
      </c>
      <c r="M22" s="3">
        <v>26.0</v>
      </c>
      <c r="N22" s="5">
        <v>39.5</v>
      </c>
      <c r="O22" s="5">
        <v>26.0</v>
      </c>
      <c r="P22" s="4">
        <f t="shared" si="4"/>
        <v>19657</v>
      </c>
      <c r="Q22" s="4">
        <f t="shared" si="5"/>
        <v>8845</v>
      </c>
      <c r="R22" s="4">
        <f t="shared" si="6"/>
        <v>10812</v>
      </c>
      <c r="S22" s="4">
        <f t="shared" si="7"/>
        <v>0</v>
      </c>
      <c r="T22" s="4">
        <f t="shared" si="8"/>
        <v>945</v>
      </c>
      <c r="U22" s="3">
        <f t="shared" si="9"/>
        <v>1637</v>
      </c>
      <c r="V22" s="4">
        <f t="shared" si="10"/>
        <v>1000</v>
      </c>
      <c r="W22" s="4">
        <f t="shared" si="11"/>
        <v>23239</v>
      </c>
      <c r="X22" s="4">
        <f t="shared" si="12"/>
        <v>2359</v>
      </c>
      <c r="Y22" s="4">
        <f t="shared" si="13"/>
        <v>167</v>
      </c>
      <c r="Z22" s="4">
        <f t="shared" si="14"/>
        <v>200</v>
      </c>
      <c r="AA22" s="3">
        <v>0.0</v>
      </c>
      <c r="AC22" s="3">
        <v>250.0</v>
      </c>
      <c r="AF22" s="4">
        <f t="shared" si="15"/>
        <v>2976</v>
      </c>
      <c r="AG22" s="4">
        <f t="shared" si="16"/>
        <v>20263</v>
      </c>
      <c r="AH22" s="4">
        <f t="shared" si="17"/>
        <v>2555</v>
      </c>
      <c r="AI22" s="4">
        <f t="shared" si="18"/>
        <v>723</v>
      </c>
      <c r="AK22" s="4">
        <f t="shared" si="19"/>
        <v>304</v>
      </c>
      <c r="AL22" s="4">
        <f t="shared" si="20"/>
        <v>26821</v>
      </c>
      <c r="AM22" s="4">
        <f t="shared" si="21"/>
        <v>1291</v>
      </c>
      <c r="AN22" s="4">
        <f t="shared" si="22"/>
        <v>28112</v>
      </c>
    </row>
    <row r="23">
      <c r="A23" s="5">
        <v>22.0</v>
      </c>
      <c r="B23" s="5">
        <v>907419.0</v>
      </c>
      <c r="C23" s="3" t="s">
        <v>74</v>
      </c>
      <c r="D23" s="3" t="s">
        <v>51</v>
      </c>
      <c r="F23" s="5">
        <v>5822.0</v>
      </c>
      <c r="G23" s="5">
        <v>7117.0</v>
      </c>
      <c r="H23" s="5">
        <v>0.0</v>
      </c>
      <c r="I23" s="4">
        <f t="shared" si="1"/>
        <v>12939</v>
      </c>
      <c r="J23" s="3">
        <v>200.0</v>
      </c>
      <c r="K23" s="4">
        <f t="shared" si="2"/>
        <v>498</v>
      </c>
      <c r="L23" s="4">
        <f t="shared" si="3"/>
        <v>622</v>
      </c>
      <c r="M23" s="3">
        <v>26.0</v>
      </c>
      <c r="N23" s="5">
        <v>38.5</v>
      </c>
      <c r="O23" s="5">
        <v>26.0</v>
      </c>
      <c r="P23" s="4">
        <f t="shared" si="4"/>
        <v>19160</v>
      </c>
      <c r="Q23" s="4">
        <f t="shared" si="5"/>
        <v>8621</v>
      </c>
      <c r="R23" s="4">
        <f t="shared" si="6"/>
        <v>10539</v>
      </c>
      <c r="S23" s="4">
        <f t="shared" si="7"/>
        <v>0</v>
      </c>
      <c r="T23" s="4">
        <f t="shared" si="8"/>
        <v>921</v>
      </c>
      <c r="U23" s="3">
        <f t="shared" si="9"/>
        <v>1596</v>
      </c>
      <c r="V23" s="4">
        <f t="shared" si="10"/>
        <v>1000</v>
      </c>
      <c r="W23" s="4">
        <f t="shared" si="11"/>
        <v>22677</v>
      </c>
      <c r="X23" s="4">
        <f t="shared" si="12"/>
        <v>2299</v>
      </c>
      <c r="Y23" s="4">
        <f t="shared" si="13"/>
        <v>163</v>
      </c>
      <c r="Z23" s="4">
        <f t="shared" si="14"/>
        <v>200</v>
      </c>
      <c r="AA23" s="3">
        <v>0.0</v>
      </c>
      <c r="AC23" s="3">
        <v>250.0</v>
      </c>
      <c r="AF23" s="4">
        <f t="shared" si="15"/>
        <v>2912</v>
      </c>
      <c r="AG23" s="4">
        <f t="shared" si="16"/>
        <v>19765</v>
      </c>
      <c r="AH23" s="4">
        <f t="shared" si="17"/>
        <v>2491</v>
      </c>
      <c r="AI23" s="4">
        <f t="shared" si="18"/>
        <v>705</v>
      </c>
      <c r="AK23" s="4">
        <f t="shared" si="19"/>
        <v>296</v>
      </c>
      <c r="AL23" s="4">
        <f t="shared" si="20"/>
        <v>26169</v>
      </c>
      <c r="AM23" s="4">
        <f t="shared" si="21"/>
        <v>1258</v>
      </c>
      <c r="AN23" s="4">
        <f t="shared" si="22"/>
        <v>27427</v>
      </c>
    </row>
    <row r="24">
      <c r="A24" s="5">
        <v>23.0</v>
      </c>
      <c r="B24" s="5">
        <v>907420.0</v>
      </c>
      <c r="C24" s="3" t="s">
        <v>75</v>
      </c>
      <c r="D24" s="3" t="s">
        <v>51</v>
      </c>
      <c r="F24" s="5">
        <v>5822.0</v>
      </c>
      <c r="G24" s="5">
        <v>7117.0</v>
      </c>
      <c r="H24" s="5">
        <v>0.0</v>
      </c>
      <c r="I24" s="4">
        <f t="shared" si="1"/>
        <v>12939</v>
      </c>
      <c r="J24" s="3">
        <v>200.0</v>
      </c>
      <c r="K24" s="4">
        <f t="shared" si="2"/>
        <v>498</v>
      </c>
      <c r="L24" s="4">
        <f t="shared" si="3"/>
        <v>622</v>
      </c>
      <c r="M24" s="3">
        <v>26.0</v>
      </c>
      <c r="N24" s="5">
        <v>18.5</v>
      </c>
      <c r="O24" s="5">
        <v>13.0</v>
      </c>
      <c r="P24" s="4">
        <f t="shared" si="4"/>
        <v>9207</v>
      </c>
      <c r="Q24" s="4">
        <f t="shared" si="5"/>
        <v>4143</v>
      </c>
      <c r="R24" s="4">
        <f t="shared" si="6"/>
        <v>5064</v>
      </c>
      <c r="S24" s="4">
        <f t="shared" si="7"/>
        <v>0</v>
      </c>
      <c r="T24" s="4">
        <f t="shared" si="8"/>
        <v>443</v>
      </c>
      <c r="U24" s="3">
        <f t="shared" si="9"/>
        <v>767</v>
      </c>
      <c r="V24" s="4">
        <f t="shared" si="10"/>
        <v>500</v>
      </c>
      <c r="W24" s="4">
        <f t="shared" si="11"/>
        <v>10917</v>
      </c>
      <c r="X24" s="4">
        <f t="shared" si="12"/>
        <v>1105</v>
      </c>
      <c r="Y24" s="4">
        <f t="shared" si="13"/>
        <v>78</v>
      </c>
      <c r="Z24" s="4">
        <f t="shared" si="14"/>
        <v>0</v>
      </c>
      <c r="AA24" s="3">
        <v>0.0</v>
      </c>
      <c r="AC24" s="3">
        <v>250.0</v>
      </c>
      <c r="AF24" s="4">
        <f t="shared" si="15"/>
        <v>1433</v>
      </c>
      <c r="AG24" s="4">
        <f t="shared" si="16"/>
        <v>9484</v>
      </c>
      <c r="AH24" s="4">
        <f t="shared" si="17"/>
        <v>1197</v>
      </c>
      <c r="AI24" s="4">
        <f t="shared" si="18"/>
        <v>339</v>
      </c>
      <c r="AK24" s="4">
        <f t="shared" si="19"/>
        <v>142</v>
      </c>
      <c r="AL24" s="4">
        <f t="shared" si="20"/>
        <v>12595</v>
      </c>
      <c r="AM24" s="4">
        <f t="shared" si="21"/>
        <v>605</v>
      </c>
      <c r="AN24" s="4">
        <f t="shared" si="22"/>
        <v>13200</v>
      </c>
    </row>
    <row r="25">
      <c r="A25" s="5">
        <v>24.0</v>
      </c>
      <c r="B25" s="5">
        <v>907421.0</v>
      </c>
      <c r="C25" s="3" t="s">
        <v>76</v>
      </c>
      <c r="D25" s="3" t="s">
        <v>51</v>
      </c>
      <c r="F25" s="5">
        <v>5822.0</v>
      </c>
      <c r="G25" s="5">
        <v>7117.0</v>
      </c>
      <c r="H25" s="5">
        <v>0.0</v>
      </c>
      <c r="I25" s="4">
        <f t="shared" si="1"/>
        <v>12939</v>
      </c>
      <c r="J25" s="3">
        <v>200.0</v>
      </c>
      <c r="K25" s="4">
        <f t="shared" si="2"/>
        <v>498</v>
      </c>
      <c r="L25" s="4">
        <f t="shared" si="3"/>
        <v>622</v>
      </c>
      <c r="M25" s="3">
        <v>26.0</v>
      </c>
      <c r="N25" s="5">
        <v>19.0</v>
      </c>
      <c r="O25" s="5">
        <v>15.0</v>
      </c>
      <c r="P25" s="4">
        <f t="shared" si="4"/>
        <v>9455</v>
      </c>
      <c r="Q25" s="4">
        <f t="shared" si="5"/>
        <v>4255</v>
      </c>
      <c r="R25" s="4">
        <f t="shared" si="6"/>
        <v>5201</v>
      </c>
      <c r="S25" s="4">
        <f t="shared" si="7"/>
        <v>0</v>
      </c>
      <c r="T25" s="4">
        <f t="shared" si="8"/>
        <v>455</v>
      </c>
      <c r="U25" s="3">
        <f t="shared" si="9"/>
        <v>788</v>
      </c>
      <c r="V25" s="4">
        <f t="shared" si="10"/>
        <v>577</v>
      </c>
      <c r="W25" s="4">
        <f t="shared" si="11"/>
        <v>11276</v>
      </c>
      <c r="X25" s="4">
        <f t="shared" si="12"/>
        <v>1135</v>
      </c>
      <c r="Y25" s="4">
        <f t="shared" si="13"/>
        <v>80</v>
      </c>
      <c r="Z25" s="4">
        <f t="shared" si="14"/>
        <v>0</v>
      </c>
      <c r="AA25" s="3">
        <v>0.0</v>
      </c>
      <c r="AC25" s="3">
        <v>250.0</v>
      </c>
      <c r="AF25" s="4">
        <f t="shared" si="15"/>
        <v>1465</v>
      </c>
      <c r="AG25" s="4">
        <f t="shared" si="16"/>
        <v>9811</v>
      </c>
      <c r="AH25" s="4">
        <f t="shared" si="17"/>
        <v>1229</v>
      </c>
      <c r="AI25" s="4">
        <f t="shared" si="18"/>
        <v>348</v>
      </c>
      <c r="AK25" s="4">
        <f t="shared" si="19"/>
        <v>146</v>
      </c>
      <c r="AL25" s="4">
        <f t="shared" si="20"/>
        <v>12999</v>
      </c>
      <c r="AM25" s="4">
        <f t="shared" si="21"/>
        <v>621</v>
      </c>
      <c r="AN25" s="4">
        <f t="shared" si="22"/>
        <v>13620</v>
      </c>
    </row>
    <row r="26">
      <c r="A26" s="5">
        <v>25.0</v>
      </c>
      <c r="B26" s="5">
        <v>907422.0</v>
      </c>
      <c r="C26" s="3" t="s">
        <v>77</v>
      </c>
      <c r="D26" s="3" t="s">
        <v>51</v>
      </c>
      <c r="F26" s="5">
        <v>5822.0</v>
      </c>
      <c r="G26" s="5">
        <v>7117.0</v>
      </c>
      <c r="H26" s="5">
        <v>0.0</v>
      </c>
      <c r="I26" s="4">
        <f t="shared" si="1"/>
        <v>12939</v>
      </c>
      <c r="J26" s="3">
        <v>200.0</v>
      </c>
      <c r="K26" s="4">
        <f t="shared" si="2"/>
        <v>498</v>
      </c>
      <c r="L26" s="4">
        <f t="shared" si="3"/>
        <v>622</v>
      </c>
      <c r="M26" s="3">
        <v>26.0</v>
      </c>
      <c r="N26" s="5">
        <v>6.0</v>
      </c>
      <c r="O26" s="5">
        <v>4.0</v>
      </c>
      <c r="P26" s="4">
        <f t="shared" si="4"/>
        <v>2986</v>
      </c>
      <c r="Q26" s="4">
        <f t="shared" si="5"/>
        <v>1344</v>
      </c>
      <c r="R26" s="4">
        <f t="shared" si="6"/>
        <v>1642</v>
      </c>
      <c r="S26" s="4">
        <f t="shared" si="7"/>
        <v>0</v>
      </c>
      <c r="T26" s="4">
        <f t="shared" si="8"/>
        <v>144</v>
      </c>
      <c r="U26" s="3">
        <f t="shared" si="9"/>
        <v>249</v>
      </c>
      <c r="V26" s="4">
        <f t="shared" si="10"/>
        <v>154</v>
      </c>
      <c r="W26" s="4">
        <f t="shared" si="11"/>
        <v>3533</v>
      </c>
      <c r="X26" s="4">
        <f t="shared" si="12"/>
        <v>358</v>
      </c>
      <c r="Y26" s="4">
        <f t="shared" si="13"/>
        <v>25</v>
      </c>
      <c r="Z26" s="4">
        <f t="shared" si="14"/>
        <v>0</v>
      </c>
      <c r="AA26" s="3">
        <v>0.0</v>
      </c>
      <c r="AC26" s="3">
        <v>250.0</v>
      </c>
      <c r="AF26" s="4">
        <f t="shared" si="15"/>
        <v>633</v>
      </c>
      <c r="AG26" s="4">
        <f t="shared" si="16"/>
        <v>2900</v>
      </c>
      <c r="AH26" s="4">
        <f t="shared" si="17"/>
        <v>388</v>
      </c>
      <c r="AI26" s="4">
        <f t="shared" si="18"/>
        <v>110</v>
      </c>
      <c r="AK26" s="4">
        <f t="shared" si="19"/>
        <v>46</v>
      </c>
      <c r="AL26" s="4">
        <f t="shared" si="20"/>
        <v>4077</v>
      </c>
      <c r="AM26" s="4">
        <f t="shared" si="21"/>
        <v>196</v>
      </c>
      <c r="AN26" s="4">
        <f t="shared" si="22"/>
        <v>4273</v>
      </c>
    </row>
    <row r="27">
      <c r="A27" s="5">
        <v>26.0</v>
      </c>
      <c r="B27" s="5">
        <v>907428.0</v>
      </c>
      <c r="C27" s="3" t="s">
        <v>78</v>
      </c>
      <c r="D27" s="3" t="s">
        <v>51</v>
      </c>
      <c r="F27" s="5">
        <v>5822.0</v>
      </c>
      <c r="G27" s="5">
        <v>7117.0</v>
      </c>
      <c r="H27" s="5">
        <v>0.0</v>
      </c>
      <c r="I27" s="4">
        <f t="shared" si="1"/>
        <v>12939</v>
      </c>
      <c r="J27" s="3">
        <v>200.0</v>
      </c>
      <c r="K27" s="4">
        <f t="shared" si="2"/>
        <v>498</v>
      </c>
      <c r="L27" s="4">
        <f t="shared" si="3"/>
        <v>622</v>
      </c>
      <c r="M27" s="3">
        <v>26.0</v>
      </c>
      <c r="N27" s="5">
        <v>11.5</v>
      </c>
      <c r="O27" s="5">
        <v>7.0</v>
      </c>
      <c r="P27" s="4">
        <f t="shared" si="4"/>
        <v>5723</v>
      </c>
      <c r="Q27" s="4">
        <f t="shared" si="5"/>
        <v>2575</v>
      </c>
      <c r="R27" s="4">
        <f t="shared" si="6"/>
        <v>3148</v>
      </c>
      <c r="S27" s="4">
        <f t="shared" si="7"/>
        <v>0</v>
      </c>
      <c r="T27" s="4">
        <f t="shared" si="8"/>
        <v>275</v>
      </c>
      <c r="U27" s="3">
        <f t="shared" si="9"/>
        <v>477</v>
      </c>
      <c r="V27" s="4">
        <f t="shared" si="10"/>
        <v>269</v>
      </c>
      <c r="W27" s="4">
        <f t="shared" si="11"/>
        <v>6744</v>
      </c>
      <c r="X27" s="4">
        <f t="shared" si="12"/>
        <v>687</v>
      </c>
      <c r="Y27" s="4">
        <f t="shared" si="13"/>
        <v>49</v>
      </c>
      <c r="Z27" s="4">
        <f t="shared" si="14"/>
        <v>0</v>
      </c>
      <c r="AA27" s="3">
        <v>0.0</v>
      </c>
      <c r="AC27" s="3">
        <v>250.0</v>
      </c>
      <c r="AF27" s="4">
        <f t="shared" si="15"/>
        <v>986</v>
      </c>
      <c r="AG27" s="4">
        <f t="shared" si="16"/>
        <v>5758</v>
      </c>
      <c r="AH27" s="4">
        <f t="shared" si="17"/>
        <v>744</v>
      </c>
      <c r="AI27" s="4">
        <f t="shared" si="18"/>
        <v>210</v>
      </c>
      <c r="AK27" s="4">
        <f t="shared" si="19"/>
        <v>88</v>
      </c>
      <c r="AL27" s="4">
        <f t="shared" si="20"/>
        <v>7786</v>
      </c>
      <c r="AM27" s="4">
        <f t="shared" si="21"/>
        <v>376</v>
      </c>
      <c r="AN27" s="4">
        <f t="shared" si="22"/>
        <v>8162</v>
      </c>
    </row>
    <row r="28">
      <c r="A28" s="5">
        <v>27.0</v>
      </c>
      <c r="B28" s="5">
        <v>907429.0</v>
      </c>
      <c r="C28" s="3" t="s">
        <v>79</v>
      </c>
      <c r="D28" s="3" t="s">
        <v>51</v>
      </c>
      <c r="F28" s="5">
        <v>5822.0</v>
      </c>
      <c r="G28" s="5">
        <v>7117.0</v>
      </c>
      <c r="H28" s="5">
        <v>0.0</v>
      </c>
      <c r="I28" s="4">
        <f t="shared" si="1"/>
        <v>12939</v>
      </c>
      <c r="J28" s="3">
        <v>200.0</v>
      </c>
      <c r="K28" s="4">
        <f t="shared" si="2"/>
        <v>498</v>
      </c>
      <c r="L28" s="4">
        <f t="shared" si="3"/>
        <v>622</v>
      </c>
      <c r="M28" s="3">
        <v>26.0</v>
      </c>
      <c r="N28" s="5">
        <v>17.0</v>
      </c>
      <c r="O28" s="5">
        <v>12.0</v>
      </c>
      <c r="P28" s="4">
        <f t="shared" si="4"/>
        <v>8460</v>
      </c>
      <c r="Q28" s="4">
        <f t="shared" si="5"/>
        <v>3807</v>
      </c>
      <c r="R28" s="4">
        <f t="shared" si="6"/>
        <v>4653</v>
      </c>
      <c r="S28" s="4">
        <f t="shared" si="7"/>
        <v>0</v>
      </c>
      <c r="T28" s="4">
        <f t="shared" si="8"/>
        <v>407</v>
      </c>
      <c r="U28" s="3">
        <f t="shared" si="9"/>
        <v>705</v>
      </c>
      <c r="V28" s="4">
        <f t="shared" si="10"/>
        <v>462</v>
      </c>
      <c r="W28" s="4">
        <f t="shared" si="11"/>
        <v>10034</v>
      </c>
      <c r="X28" s="4">
        <f t="shared" si="12"/>
        <v>1015</v>
      </c>
      <c r="Y28" s="4">
        <f t="shared" si="13"/>
        <v>72</v>
      </c>
      <c r="Z28" s="4">
        <f t="shared" si="14"/>
        <v>0</v>
      </c>
      <c r="AA28" s="3">
        <v>0.0</v>
      </c>
      <c r="AC28" s="3">
        <v>250.0</v>
      </c>
      <c r="AF28" s="4">
        <f t="shared" si="15"/>
        <v>1337</v>
      </c>
      <c r="AG28" s="4">
        <f t="shared" si="16"/>
        <v>8697</v>
      </c>
      <c r="AH28" s="4">
        <f t="shared" si="17"/>
        <v>1100</v>
      </c>
      <c r="AI28" s="4">
        <f t="shared" si="18"/>
        <v>311</v>
      </c>
      <c r="AK28" s="4">
        <f t="shared" si="19"/>
        <v>131</v>
      </c>
      <c r="AL28" s="4">
        <f t="shared" si="20"/>
        <v>11576</v>
      </c>
      <c r="AM28" s="4">
        <f t="shared" si="21"/>
        <v>556</v>
      </c>
      <c r="AN28" s="4">
        <f t="shared" si="22"/>
        <v>12132</v>
      </c>
    </row>
    <row r="29">
      <c r="A29" s="5">
        <v>28.0</v>
      </c>
      <c r="B29" s="5">
        <v>907430.0</v>
      </c>
      <c r="C29" s="3" t="s">
        <v>80</v>
      </c>
      <c r="D29" s="3" t="s">
        <v>51</v>
      </c>
      <c r="F29" s="5">
        <v>5822.0</v>
      </c>
      <c r="G29" s="5">
        <v>7117.0</v>
      </c>
      <c r="H29" s="5">
        <v>0.0</v>
      </c>
      <c r="I29" s="4">
        <f t="shared" si="1"/>
        <v>12939</v>
      </c>
      <c r="J29" s="3">
        <v>200.0</v>
      </c>
      <c r="K29" s="4">
        <f t="shared" si="2"/>
        <v>498</v>
      </c>
      <c r="L29" s="4">
        <f t="shared" si="3"/>
        <v>622</v>
      </c>
      <c r="M29" s="3">
        <v>26.0</v>
      </c>
      <c r="N29" s="5">
        <v>17.0</v>
      </c>
      <c r="O29" s="5">
        <v>13.0</v>
      </c>
      <c r="P29" s="4">
        <f t="shared" si="4"/>
        <v>8460</v>
      </c>
      <c r="Q29" s="4">
        <f t="shared" si="5"/>
        <v>3807</v>
      </c>
      <c r="R29" s="4">
        <f t="shared" si="6"/>
        <v>4653</v>
      </c>
      <c r="S29" s="4">
        <f t="shared" si="7"/>
        <v>0</v>
      </c>
      <c r="T29" s="4">
        <f t="shared" si="8"/>
        <v>407</v>
      </c>
      <c r="U29" s="3">
        <f t="shared" si="9"/>
        <v>705</v>
      </c>
      <c r="V29" s="4">
        <f t="shared" si="10"/>
        <v>500</v>
      </c>
      <c r="W29" s="4">
        <f t="shared" si="11"/>
        <v>10072</v>
      </c>
      <c r="X29" s="4">
        <f t="shared" si="12"/>
        <v>1015</v>
      </c>
      <c r="Y29" s="4">
        <f t="shared" si="13"/>
        <v>72</v>
      </c>
      <c r="Z29" s="4">
        <f t="shared" si="14"/>
        <v>0</v>
      </c>
      <c r="AA29" s="3">
        <v>0.0</v>
      </c>
      <c r="AC29" s="3">
        <v>250.0</v>
      </c>
      <c r="AF29" s="4">
        <f t="shared" si="15"/>
        <v>1337</v>
      </c>
      <c r="AG29" s="4">
        <f t="shared" si="16"/>
        <v>8735</v>
      </c>
      <c r="AH29" s="4">
        <f t="shared" si="17"/>
        <v>1100</v>
      </c>
      <c r="AI29" s="4">
        <f t="shared" si="18"/>
        <v>311</v>
      </c>
      <c r="AK29" s="4">
        <f t="shared" si="19"/>
        <v>131</v>
      </c>
      <c r="AL29" s="4">
        <f t="shared" si="20"/>
        <v>11614</v>
      </c>
      <c r="AM29" s="4">
        <f t="shared" si="21"/>
        <v>556</v>
      </c>
      <c r="AN29" s="4">
        <f t="shared" si="22"/>
        <v>12170</v>
      </c>
    </row>
    <row r="30">
      <c r="A30" s="5">
        <v>29.0</v>
      </c>
      <c r="B30" s="5">
        <v>907432.0</v>
      </c>
      <c r="C30" s="3" t="s">
        <v>81</v>
      </c>
      <c r="D30" s="3" t="s">
        <v>51</v>
      </c>
      <c r="F30" s="5">
        <v>5822.0</v>
      </c>
      <c r="G30" s="5">
        <v>7117.0</v>
      </c>
      <c r="H30" s="5">
        <v>0.0</v>
      </c>
      <c r="I30" s="4">
        <f t="shared" si="1"/>
        <v>12939</v>
      </c>
      <c r="J30" s="3">
        <v>200.0</v>
      </c>
      <c r="K30" s="4">
        <f t="shared" si="2"/>
        <v>498</v>
      </c>
      <c r="L30" s="4">
        <f t="shared" si="3"/>
        <v>622</v>
      </c>
      <c r="M30" s="3">
        <v>26.0</v>
      </c>
      <c r="N30" s="5">
        <v>38.0</v>
      </c>
      <c r="O30" s="5">
        <v>26.0</v>
      </c>
      <c r="P30" s="4">
        <f t="shared" si="4"/>
        <v>18911</v>
      </c>
      <c r="Q30" s="4">
        <f t="shared" si="5"/>
        <v>8509</v>
      </c>
      <c r="R30" s="4">
        <f t="shared" si="6"/>
        <v>10402</v>
      </c>
      <c r="S30" s="4">
        <f t="shared" si="7"/>
        <v>0</v>
      </c>
      <c r="T30" s="4">
        <f t="shared" si="8"/>
        <v>909</v>
      </c>
      <c r="U30" s="3">
        <f t="shared" si="9"/>
        <v>1575</v>
      </c>
      <c r="V30" s="4">
        <f t="shared" si="10"/>
        <v>1000</v>
      </c>
      <c r="W30" s="4">
        <f t="shared" si="11"/>
        <v>22395</v>
      </c>
      <c r="X30" s="4">
        <f t="shared" si="12"/>
        <v>2269</v>
      </c>
      <c r="Y30" s="4">
        <f t="shared" si="13"/>
        <v>160</v>
      </c>
      <c r="Z30" s="4">
        <f t="shared" si="14"/>
        <v>200</v>
      </c>
      <c r="AA30" s="3">
        <v>0.0</v>
      </c>
      <c r="AC30" s="3">
        <v>250.0</v>
      </c>
      <c r="AF30" s="4">
        <f t="shared" si="15"/>
        <v>2879</v>
      </c>
      <c r="AG30" s="4">
        <f t="shared" si="16"/>
        <v>19516</v>
      </c>
      <c r="AH30" s="4">
        <f t="shared" si="17"/>
        <v>2458</v>
      </c>
      <c r="AI30" s="4">
        <f t="shared" si="18"/>
        <v>695</v>
      </c>
      <c r="AK30" s="4">
        <f t="shared" si="19"/>
        <v>292</v>
      </c>
      <c r="AL30" s="4">
        <f t="shared" si="20"/>
        <v>25840</v>
      </c>
      <c r="AM30" s="4">
        <f t="shared" si="21"/>
        <v>1242</v>
      </c>
      <c r="AN30" s="4">
        <f t="shared" si="22"/>
        <v>27082</v>
      </c>
    </row>
    <row r="31">
      <c r="A31" s="5">
        <v>30.0</v>
      </c>
      <c r="B31" s="5">
        <v>907433.0</v>
      </c>
      <c r="C31" s="3" t="s">
        <v>82</v>
      </c>
      <c r="D31" s="3" t="s">
        <v>51</v>
      </c>
      <c r="F31" s="5">
        <v>5822.0</v>
      </c>
      <c r="G31" s="5">
        <v>7117.0</v>
      </c>
      <c r="H31" s="5">
        <v>0.0</v>
      </c>
      <c r="I31" s="4">
        <f t="shared" si="1"/>
        <v>12939</v>
      </c>
      <c r="J31" s="3">
        <v>200.0</v>
      </c>
      <c r="K31" s="4">
        <f t="shared" si="2"/>
        <v>498</v>
      </c>
      <c r="L31" s="4">
        <f t="shared" si="3"/>
        <v>622</v>
      </c>
      <c r="M31" s="3">
        <v>26.0</v>
      </c>
      <c r="N31" s="5">
        <v>38.5</v>
      </c>
      <c r="O31" s="5">
        <v>26.0</v>
      </c>
      <c r="P31" s="4">
        <f t="shared" si="4"/>
        <v>19160</v>
      </c>
      <c r="Q31" s="4">
        <f t="shared" si="5"/>
        <v>8621</v>
      </c>
      <c r="R31" s="4">
        <f t="shared" si="6"/>
        <v>10539</v>
      </c>
      <c r="S31" s="4">
        <f t="shared" si="7"/>
        <v>0</v>
      </c>
      <c r="T31" s="4">
        <f t="shared" si="8"/>
        <v>921</v>
      </c>
      <c r="U31" s="3">
        <f t="shared" si="9"/>
        <v>1596</v>
      </c>
      <c r="V31" s="4">
        <f t="shared" si="10"/>
        <v>1000</v>
      </c>
      <c r="W31" s="4">
        <f t="shared" si="11"/>
        <v>22677</v>
      </c>
      <c r="X31" s="4">
        <f t="shared" si="12"/>
        <v>2299</v>
      </c>
      <c r="Y31" s="4">
        <f t="shared" si="13"/>
        <v>163</v>
      </c>
      <c r="Z31" s="4">
        <f t="shared" si="14"/>
        <v>200</v>
      </c>
      <c r="AA31" s="3">
        <v>0.0</v>
      </c>
      <c r="AC31" s="3">
        <v>250.0</v>
      </c>
      <c r="AF31" s="4">
        <f t="shared" si="15"/>
        <v>2912</v>
      </c>
      <c r="AG31" s="4">
        <f t="shared" si="16"/>
        <v>19765</v>
      </c>
      <c r="AH31" s="4">
        <f t="shared" si="17"/>
        <v>2491</v>
      </c>
      <c r="AI31" s="4">
        <f t="shared" si="18"/>
        <v>705</v>
      </c>
      <c r="AK31" s="4">
        <f t="shared" si="19"/>
        <v>296</v>
      </c>
      <c r="AL31" s="4">
        <f t="shared" si="20"/>
        <v>26169</v>
      </c>
      <c r="AM31" s="4">
        <f t="shared" si="21"/>
        <v>1258</v>
      </c>
      <c r="AN31" s="4">
        <f t="shared" si="22"/>
        <v>27427</v>
      </c>
    </row>
    <row r="32">
      <c r="A32" s="5">
        <v>31.0</v>
      </c>
      <c r="B32" s="5">
        <v>907650.0</v>
      </c>
      <c r="C32" s="3" t="s">
        <v>83</v>
      </c>
      <c r="D32" s="3" t="s">
        <v>51</v>
      </c>
      <c r="F32" s="5">
        <v>5822.0</v>
      </c>
      <c r="G32" s="5">
        <v>7117.0</v>
      </c>
      <c r="H32" s="5">
        <v>0.0</v>
      </c>
      <c r="I32" s="4">
        <f t="shared" si="1"/>
        <v>12939</v>
      </c>
      <c r="J32" s="3">
        <v>200.0</v>
      </c>
      <c r="K32" s="4">
        <f t="shared" si="2"/>
        <v>498</v>
      </c>
      <c r="L32" s="4">
        <f t="shared" si="3"/>
        <v>622</v>
      </c>
      <c r="M32" s="3">
        <v>26.0</v>
      </c>
      <c r="N32" s="5">
        <v>37.0</v>
      </c>
      <c r="O32" s="5">
        <v>24.0</v>
      </c>
      <c r="P32" s="4">
        <f t="shared" si="4"/>
        <v>18413</v>
      </c>
      <c r="Q32" s="4">
        <f t="shared" si="5"/>
        <v>8285</v>
      </c>
      <c r="R32" s="4">
        <f t="shared" si="6"/>
        <v>10128</v>
      </c>
      <c r="S32" s="4">
        <f t="shared" si="7"/>
        <v>0</v>
      </c>
      <c r="T32" s="4">
        <f t="shared" si="8"/>
        <v>885</v>
      </c>
      <c r="U32" s="3">
        <f t="shared" si="9"/>
        <v>1534</v>
      </c>
      <c r="V32" s="4">
        <f t="shared" si="10"/>
        <v>923</v>
      </c>
      <c r="W32" s="4">
        <f t="shared" si="11"/>
        <v>21755</v>
      </c>
      <c r="X32" s="4">
        <f t="shared" si="12"/>
        <v>2210</v>
      </c>
      <c r="Y32" s="4">
        <f t="shared" si="13"/>
        <v>156</v>
      </c>
      <c r="Z32" s="4">
        <f t="shared" si="14"/>
        <v>200</v>
      </c>
      <c r="AA32" s="3">
        <v>0.0</v>
      </c>
      <c r="AC32" s="3">
        <v>250.0</v>
      </c>
      <c r="AF32" s="4">
        <f t="shared" si="15"/>
        <v>2816</v>
      </c>
      <c r="AG32" s="4">
        <f t="shared" si="16"/>
        <v>18939</v>
      </c>
      <c r="AH32" s="4">
        <f t="shared" si="17"/>
        <v>2394</v>
      </c>
      <c r="AI32" s="4">
        <f t="shared" si="18"/>
        <v>677</v>
      </c>
      <c r="AK32" s="4">
        <f t="shared" si="19"/>
        <v>285</v>
      </c>
      <c r="AL32" s="4">
        <f t="shared" si="20"/>
        <v>25111</v>
      </c>
      <c r="AM32" s="4">
        <f t="shared" si="21"/>
        <v>1209</v>
      </c>
      <c r="AN32" s="4">
        <f t="shared" si="22"/>
        <v>26320</v>
      </c>
    </row>
    <row r="33">
      <c r="A33" s="5">
        <v>32.0</v>
      </c>
      <c r="B33" s="5">
        <v>907689.0</v>
      </c>
      <c r="C33" s="3" t="s">
        <v>84</v>
      </c>
      <c r="D33" s="3" t="s">
        <v>51</v>
      </c>
      <c r="F33" s="5">
        <v>5822.0</v>
      </c>
      <c r="G33" s="5">
        <v>7117.0</v>
      </c>
      <c r="H33" s="5">
        <v>0.0</v>
      </c>
      <c r="I33" s="4">
        <f t="shared" si="1"/>
        <v>12939</v>
      </c>
      <c r="J33" s="3">
        <v>200.0</v>
      </c>
      <c r="K33" s="4">
        <f t="shared" si="2"/>
        <v>498</v>
      </c>
      <c r="L33" s="4">
        <f t="shared" si="3"/>
        <v>622</v>
      </c>
      <c r="M33" s="3">
        <v>26.0</v>
      </c>
      <c r="N33" s="5">
        <v>39.0</v>
      </c>
      <c r="O33" s="5">
        <v>26.0</v>
      </c>
      <c r="P33" s="4">
        <f t="shared" si="4"/>
        <v>19409</v>
      </c>
      <c r="Q33" s="4">
        <f t="shared" si="5"/>
        <v>8733</v>
      </c>
      <c r="R33" s="4">
        <f t="shared" si="6"/>
        <v>10676</v>
      </c>
      <c r="S33" s="4">
        <f t="shared" si="7"/>
        <v>0</v>
      </c>
      <c r="T33" s="4">
        <f t="shared" si="8"/>
        <v>933</v>
      </c>
      <c r="U33" s="3">
        <f t="shared" si="9"/>
        <v>1617</v>
      </c>
      <c r="V33" s="4">
        <f t="shared" si="10"/>
        <v>1000</v>
      </c>
      <c r="W33" s="4">
        <f t="shared" si="11"/>
        <v>22959</v>
      </c>
      <c r="X33" s="4">
        <f t="shared" si="12"/>
        <v>2329</v>
      </c>
      <c r="Y33" s="4">
        <f t="shared" si="13"/>
        <v>165</v>
      </c>
      <c r="Z33" s="4">
        <f t="shared" si="14"/>
        <v>200</v>
      </c>
      <c r="AA33" s="3">
        <v>0.0</v>
      </c>
      <c r="AC33" s="3">
        <v>250.0</v>
      </c>
      <c r="AF33" s="4">
        <f t="shared" si="15"/>
        <v>2944</v>
      </c>
      <c r="AG33" s="4">
        <f t="shared" si="16"/>
        <v>20015</v>
      </c>
      <c r="AH33" s="4">
        <f t="shared" si="17"/>
        <v>2523</v>
      </c>
      <c r="AI33" s="4">
        <f t="shared" si="18"/>
        <v>714</v>
      </c>
      <c r="AK33" s="4">
        <f t="shared" si="19"/>
        <v>300</v>
      </c>
      <c r="AL33" s="4">
        <f t="shared" si="20"/>
        <v>26496</v>
      </c>
      <c r="AM33" s="4">
        <f t="shared" si="21"/>
        <v>1275</v>
      </c>
      <c r="AN33" s="4">
        <f t="shared" si="22"/>
        <v>27771</v>
      </c>
    </row>
    <row r="34">
      <c r="A34" s="5">
        <v>33.0</v>
      </c>
      <c r="B34" s="5">
        <v>907690.0</v>
      </c>
      <c r="C34" s="3" t="s">
        <v>85</v>
      </c>
      <c r="D34" s="3" t="s">
        <v>51</v>
      </c>
      <c r="F34" s="5">
        <v>5822.0</v>
      </c>
      <c r="G34" s="5">
        <v>7117.0</v>
      </c>
      <c r="H34" s="5">
        <v>0.0</v>
      </c>
      <c r="I34" s="4">
        <f t="shared" si="1"/>
        <v>12939</v>
      </c>
      <c r="J34" s="3">
        <v>200.0</v>
      </c>
      <c r="K34" s="4">
        <f t="shared" si="2"/>
        <v>498</v>
      </c>
      <c r="L34" s="4">
        <f t="shared" si="3"/>
        <v>622</v>
      </c>
      <c r="M34" s="3">
        <v>26.0</v>
      </c>
      <c r="N34" s="5">
        <v>37.5</v>
      </c>
      <c r="O34" s="5">
        <v>26.0</v>
      </c>
      <c r="P34" s="4">
        <f t="shared" si="4"/>
        <v>18662</v>
      </c>
      <c r="Q34" s="4">
        <f t="shared" si="5"/>
        <v>8397</v>
      </c>
      <c r="R34" s="4">
        <f t="shared" si="6"/>
        <v>10265</v>
      </c>
      <c r="S34" s="4">
        <f t="shared" si="7"/>
        <v>0</v>
      </c>
      <c r="T34" s="4">
        <f t="shared" si="8"/>
        <v>897</v>
      </c>
      <c r="U34" s="3">
        <f t="shared" si="9"/>
        <v>1555</v>
      </c>
      <c r="V34" s="4">
        <f t="shared" si="10"/>
        <v>1000</v>
      </c>
      <c r="W34" s="4">
        <f t="shared" si="11"/>
        <v>22114</v>
      </c>
      <c r="X34" s="4">
        <f t="shared" si="12"/>
        <v>2239</v>
      </c>
      <c r="Y34" s="4">
        <f t="shared" si="13"/>
        <v>158</v>
      </c>
      <c r="Z34" s="4">
        <f t="shared" si="14"/>
        <v>200</v>
      </c>
      <c r="AA34" s="3">
        <v>0.0</v>
      </c>
      <c r="AC34" s="3">
        <v>250.0</v>
      </c>
      <c r="AF34" s="4">
        <f t="shared" si="15"/>
        <v>2847</v>
      </c>
      <c r="AG34" s="4">
        <f t="shared" si="16"/>
        <v>19267</v>
      </c>
      <c r="AH34" s="4">
        <f t="shared" si="17"/>
        <v>2426</v>
      </c>
      <c r="AI34" s="4">
        <f t="shared" si="18"/>
        <v>686</v>
      </c>
      <c r="AK34" s="4">
        <f t="shared" si="19"/>
        <v>288</v>
      </c>
      <c r="AL34" s="4">
        <f t="shared" si="20"/>
        <v>25514</v>
      </c>
      <c r="AM34" s="4">
        <f t="shared" si="21"/>
        <v>1226</v>
      </c>
      <c r="AN34" s="4">
        <f t="shared" si="22"/>
        <v>26740</v>
      </c>
    </row>
    <row r="35">
      <c r="A35" s="5">
        <v>34.0</v>
      </c>
      <c r="B35" s="5">
        <v>907714.0</v>
      </c>
      <c r="C35" s="3" t="s">
        <v>86</v>
      </c>
      <c r="D35" s="3" t="s">
        <v>51</v>
      </c>
      <c r="F35" s="5">
        <v>5822.0</v>
      </c>
      <c r="G35" s="5">
        <v>7117.0</v>
      </c>
      <c r="H35" s="5">
        <v>0.0</v>
      </c>
      <c r="I35" s="4">
        <f t="shared" si="1"/>
        <v>12939</v>
      </c>
      <c r="J35" s="3">
        <v>200.0</v>
      </c>
      <c r="K35" s="4">
        <f t="shared" si="2"/>
        <v>498</v>
      </c>
      <c r="L35" s="4">
        <f t="shared" si="3"/>
        <v>622</v>
      </c>
      <c r="M35" s="3">
        <v>26.0</v>
      </c>
      <c r="N35" s="5">
        <v>13.0</v>
      </c>
      <c r="O35" s="5">
        <v>13.0</v>
      </c>
      <c r="P35" s="4">
        <f t="shared" si="4"/>
        <v>6470</v>
      </c>
      <c r="Q35" s="4">
        <f t="shared" si="5"/>
        <v>2911</v>
      </c>
      <c r="R35" s="4">
        <f t="shared" si="6"/>
        <v>3559</v>
      </c>
      <c r="S35" s="4">
        <f t="shared" si="7"/>
        <v>0</v>
      </c>
      <c r="T35" s="4">
        <f t="shared" si="8"/>
        <v>311</v>
      </c>
      <c r="U35" s="3">
        <f t="shared" si="9"/>
        <v>539</v>
      </c>
      <c r="V35" s="4">
        <f t="shared" si="10"/>
        <v>500</v>
      </c>
      <c r="W35" s="4">
        <f t="shared" si="11"/>
        <v>7820</v>
      </c>
      <c r="X35" s="4">
        <f t="shared" si="12"/>
        <v>776</v>
      </c>
      <c r="Y35" s="4">
        <f t="shared" si="13"/>
        <v>55</v>
      </c>
      <c r="Z35" s="4">
        <f t="shared" si="14"/>
        <v>0</v>
      </c>
      <c r="AA35" s="3">
        <v>0.0</v>
      </c>
      <c r="AC35" s="3">
        <v>250.0</v>
      </c>
      <c r="AF35" s="4">
        <f t="shared" si="15"/>
        <v>1081</v>
      </c>
      <c r="AG35" s="4">
        <f t="shared" si="16"/>
        <v>6739</v>
      </c>
      <c r="AH35" s="4">
        <f t="shared" si="17"/>
        <v>841</v>
      </c>
      <c r="AI35" s="4">
        <f t="shared" si="18"/>
        <v>238</v>
      </c>
      <c r="AK35" s="4">
        <f t="shared" si="19"/>
        <v>100</v>
      </c>
      <c r="AL35" s="4">
        <f t="shared" si="20"/>
        <v>8999</v>
      </c>
      <c r="AM35" s="4">
        <f t="shared" si="21"/>
        <v>425</v>
      </c>
      <c r="AN35" s="4">
        <f t="shared" si="22"/>
        <v>9424</v>
      </c>
    </row>
    <row r="36">
      <c r="A36" s="5">
        <v>35.0</v>
      </c>
      <c r="B36" s="5">
        <v>907390.0</v>
      </c>
      <c r="C36" s="3" t="s">
        <v>87</v>
      </c>
      <c r="D36" s="3" t="s">
        <v>88</v>
      </c>
      <c r="F36" s="5">
        <v>8322.0</v>
      </c>
      <c r="G36" s="5">
        <v>10182.0</v>
      </c>
      <c r="H36" s="5">
        <v>2630.0</v>
      </c>
      <c r="I36" s="4">
        <f t="shared" si="1"/>
        <v>21134</v>
      </c>
      <c r="J36" s="3">
        <v>200.0</v>
      </c>
      <c r="K36" s="4">
        <f t="shared" si="2"/>
        <v>813</v>
      </c>
      <c r="L36" s="4">
        <f t="shared" si="3"/>
        <v>1016</v>
      </c>
      <c r="M36" s="3">
        <v>26.0</v>
      </c>
      <c r="N36" s="5">
        <v>22.0</v>
      </c>
      <c r="O36" s="5">
        <v>22.0</v>
      </c>
      <c r="P36" s="4">
        <f t="shared" si="4"/>
        <v>17883</v>
      </c>
      <c r="Q36" s="4">
        <f t="shared" si="5"/>
        <v>7042</v>
      </c>
      <c r="R36" s="4">
        <f t="shared" si="6"/>
        <v>8616</v>
      </c>
      <c r="S36" s="4">
        <f t="shared" si="7"/>
        <v>2225</v>
      </c>
      <c r="T36" s="4">
        <f t="shared" si="8"/>
        <v>860</v>
      </c>
      <c r="U36" s="3">
        <f t="shared" si="9"/>
        <v>1304</v>
      </c>
      <c r="V36" s="4">
        <f t="shared" si="10"/>
        <v>846</v>
      </c>
      <c r="W36" s="4">
        <f t="shared" si="11"/>
        <v>20893</v>
      </c>
      <c r="X36" s="4">
        <f t="shared" si="12"/>
        <v>1879</v>
      </c>
      <c r="Y36" s="4">
        <f t="shared" si="13"/>
        <v>150</v>
      </c>
      <c r="Z36" s="4">
        <f t="shared" si="14"/>
        <v>200</v>
      </c>
      <c r="AA36" s="3">
        <v>0.0</v>
      </c>
      <c r="AC36" s="3">
        <v>250.0</v>
      </c>
      <c r="AF36" s="4">
        <f t="shared" si="15"/>
        <v>2479</v>
      </c>
      <c r="AG36" s="4">
        <f t="shared" si="16"/>
        <v>18414</v>
      </c>
      <c r="AH36" s="4">
        <f t="shared" si="17"/>
        <v>2036</v>
      </c>
      <c r="AI36" s="4">
        <f t="shared" si="18"/>
        <v>652</v>
      </c>
      <c r="AK36" s="4">
        <f t="shared" si="19"/>
        <v>169</v>
      </c>
      <c r="AL36" s="4">
        <f t="shared" si="20"/>
        <v>23750</v>
      </c>
      <c r="AM36" s="4">
        <f t="shared" si="21"/>
        <v>1145</v>
      </c>
      <c r="AN36" s="4">
        <f t="shared" si="22"/>
        <v>24895</v>
      </c>
    </row>
    <row r="37">
      <c r="A37" s="5">
        <v>36.0</v>
      </c>
      <c r="B37" s="5">
        <v>907391.0</v>
      </c>
      <c r="C37" s="3" t="s">
        <v>89</v>
      </c>
      <c r="D37" s="3" t="s">
        <v>88</v>
      </c>
      <c r="F37" s="5">
        <v>8322.0</v>
      </c>
      <c r="G37" s="5">
        <v>10182.0</v>
      </c>
      <c r="H37" s="5">
        <v>2630.0</v>
      </c>
      <c r="I37" s="4">
        <f t="shared" si="1"/>
        <v>21134</v>
      </c>
      <c r="J37" s="3">
        <v>200.0</v>
      </c>
      <c r="K37" s="4">
        <f t="shared" si="2"/>
        <v>813</v>
      </c>
      <c r="L37" s="4">
        <f t="shared" si="3"/>
        <v>1016</v>
      </c>
      <c r="M37" s="3">
        <v>26.0</v>
      </c>
      <c r="N37" s="5">
        <v>21.0</v>
      </c>
      <c r="O37" s="5">
        <v>20.0</v>
      </c>
      <c r="P37" s="4">
        <f t="shared" si="4"/>
        <v>17070</v>
      </c>
      <c r="Q37" s="4">
        <f t="shared" si="5"/>
        <v>6722</v>
      </c>
      <c r="R37" s="4">
        <f t="shared" si="6"/>
        <v>8224</v>
      </c>
      <c r="S37" s="4">
        <f t="shared" si="7"/>
        <v>2124</v>
      </c>
      <c r="T37" s="4">
        <f t="shared" si="8"/>
        <v>821</v>
      </c>
      <c r="U37" s="3">
        <f t="shared" si="9"/>
        <v>1245</v>
      </c>
      <c r="V37" s="4">
        <f t="shared" si="10"/>
        <v>769</v>
      </c>
      <c r="W37" s="4">
        <f t="shared" si="11"/>
        <v>19905</v>
      </c>
      <c r="X37" s="4">
        <f t="shared" si="12"/>
        <v>1794</v>
      </c>
      <c r="Y37" s="4">
        <f t="shared" si="13"/>
        <v>144</v>
      </c>
      <c r="Z37" s="4">
        <f t="shared" si="14"/>
        <v>150</v>
      </c>
      <c r="AA37" s="3">
        <v>0.0</v>
      </c>
      <c r="AC37" s="3">
        <v>250.0</v>
      </c>
      <c r="AF37" s="4">
        <f t="shared" si="15"/>
        <v>2338</v>
      </c>
      <c r="AG37" s="4">
        <f t="shared" si="16"/>
        <v>17567</v>
      </c>
      <c r="AH37" s="4">
        <f t="shared" si="17"/>
        <v>1943</v>
      </c>
      <c r="AI37" s="4">
        <f t="shared" si="18"/>
        <v>622</v>
      </c>
      <c r="AK37" s="4">
        <f t="shared" si="19"/>
        <v>162</v>
      </c>
      <c r="AL37" s="4">
        <f t="shared" si="20"/>
        <v>22632</v>
      </c>
      <c r="AM37" s="4">
        <f t="shared" si="21"/>
        <v>1093</v>
      </c>
      <c r="AN37" s="4">
        <f t="shared" si="22"/>
        <v>23725</v>
      </c>
    </row>
    <row r="38">
      <c r="A38" s="5">
        <v>37.0</v>
      </c>
      <c r="B38" s="5">
        <v>907392.0</v>
      </c>
      <c r="C38" s="3" t="s">
        <v>90</v>
      </c>
      <c r="D38" s="3" t="s">
        <v>88</v>
      </c>
      <c r="F38" s="5">
        <v>8322.0</v>
      </c>
      <c r="G38" s="5">
        <v>10182.0</v>
      </c>
      <c r="H38" s="5">
        <v>2630.0</v>
      </c>
      <c r="I38" s="4">
        <f t="shared" si="1"/>
        <v>21134</v>
      </c>
      <c r="J38" s="3">
        <v>200.0</v>
      </c>
      <c r="K38" s="4">
        <f t="shared" si="2"/>
        <v>813</v>
      </c>
      <c r="L38" s="4">
        <f t="shared" si="3"/>
        <v>1016</v>
      </c>
      <c r="M38" s="3">
        <v>26.0</v>
      </c>
      <c r="N38" s="5">
        <v>29.0</v>
      </c>
      <c r="O38" s="5">
        <v>23.0</v>
      </c>
      <c r="P38" s="4">
        <f t="shared" si="4"/>
        <v>23573</v>
      </c>
      <c r="Q38" s="4">
        <f t="shared" si="5"/>
        <v>9282</v>
      </c>
      <c r="R38" s="4">
        <f t="shared" si="6"/>
        <v>11357</v>
      </c>
      <c r="S38" s="4">
        <f t="shared" si="7"/>
        <v>2933</v>
      </c>
      <c r="T38" s="4">
        <f t="shared" si="8"/>
        <v>1133</v>
      </c>
      <c r="U38" s="3">
        <f t="shared" si="9"/>
        <v>1719</v>
      </c>
      <c r="V38" s="4">
        <f t="shared" si="10"/>
        <v>885</v>
      </c>
      <c r="W38" s="4">
        <f t="shared" si="11"/>
        <v>27309</v>
      </c>
      <c r="X38" s="4">
        <f t="shared" si="12"/>
        <v>2477</v>
      </c>
      <c r="Y38" s="4">
        <f t="shared" si="13"/>
        <v>198</v>
      </c>
      <c r="Z38" s="4">
        <f t="shared" si="14"/>
        <v>200</v>
      </c>
      <c r="AA38" s="3">
        <v>0.0</v>
      </c>
      <c r="AC38" s="3">
        <v>250.0</v>
      </c>
      <c r="AF38" s="4">
        <f t="shared" si="15"/>
        <v>3125</v>
      </c>
      <c r="AG38" s="4">
        <f t="shared" si="16"/>
        <v>24184</v>
      </c>
      <c r="AH38" s="4">
        <f t="shared" si="17"/>
        <v>2683</v>
      </c>
      <c r="AI38" s="4">
        <f t="shared" si="18"/>
        <v>859</v>
      </c>
      <c r="AK38" s="4">
        <f t="shared" si="19"/>
        <v>223</v>
      </c>
      <c r="AL38" s="4">
        <f t="shared" si="20"/>
        <v>31074</v>
      </c>
      <c r="AM38" s="4">
        <f t="shared" si="21"/>
        <v>1509</v>
      </c>
      <c r="AN38" s="4">
        <f t="shared" si="22"/>
        <v>32583</v>
      </c>
    </row>
    <row r="39">
      <c r="A39" s="5">
        <v>38.0</v>
      </c>
      <c r="B39" s="5">
        <v>907412.0</v>
      </c>
      <c r="C39" s="3" t="s">
        <v>91</v>
      </c>
      <c r="D39" s="3" t="s">
        <v>92</v>
      </c>
      <c r="F39" s="5">
        <v>0.0</v>
      </c>
      <c r="G39" s="5">
        <v>0.0</v>
      </c>
      <c r="H39" s="5">
        <v>0.0</v>
      </c>
      <c r="I39" s="4">
        <f t="shared" si="1"/>
        <v>0</v>
      </c>
      <c r="J39" s="3">
        <v>200.0</v>
      </c>
      <c r="K39" s="4">
        <f t="shared" si="2"/>
        <v>0</v>
      </c>
      <c r="L39" s="4">
        <f t="shared" si="3"/>
        <v>0</v>
      </c>
      <c r="M39" s="3">
        <v>26.0</v>
      </c>
      <c r="N39" s="5">
        <v>12.0</v>
      </c>
      <c r="O39" s="5">
        <v>11.0</v>
      </c>
      <c r="P39" s="4">
        <f t="shared" si="4"/>
        <v>0</v>
      </c>
      <c r="Q39" s="4">
        <f t="shared" si="5"/>
        <v>0</v>
      </c>
      <c r="R39" s="4">
        <f t="shared" si="6"/>
        <v>0</v>
      </c>
      <c r="S39" s="4">
        <f t="shared" si="7"/>
        <v>0</v>
      </c>
      <c r="T39" s="4">
        <f t="shared" si="8"/>
        <v>0</v>
      </c>
      <c r="U39" s="3">
        <f t="shared" si="9"/>
        <v>0</v>
      </c>
      <c r="V39" s="4">
        <f t="shared" si="10"/>
        <v>423</v>
      </c>
      <c r="W39" s="4">
        <f t="shared" si="11"/>
        <v>423</v>
      </c>
      <c r="X39" s="4">
        <f t="shared" si="12"/>
        <v>0</v>
      </c>
      <c r="Y39" s="4">
        <f t="shared" si="13"/>
        <v>0</v>
      </c>
      <c r="Z39" s="4">
        <f t="shared" si="14"/>
        <v>0</v>
      </c>
      <c r="AA39" s="3">
        <v>0.0</v>
      </c>
      <c r="AC39" s="3">
        <v>250.0</v>
      </c>
      <c r="AF39" s="4">
        <f t="shared" si="15"/>
        <v>250</v>
      </c>
      <c r="AG39" s="4">
        <f t="shared" si="16"/>
        <v>173</v>
      </c>
      <c r="AH39" s="4">
        <f t="shared" si="17"/>
        <v>0</v>
      </c>
      <c r="AI39" s="4">
        <f t="shared" si="18"/>
        <v>0</v>
      </c>
      <c r="AK39" s="4">
        <f t="shared" si="19"/>
        <v>92</v>
      </c>
      <c r="AL39" s="4">
        <f t="shared" si="20"/>
        <v>515</v>
      </c>
      <c r="AM39" s="4">
        <f t="shared" si="21"/>
        <v>5</v>
      </c>
      <c r="AN39" s="4">
        <f t="shared" si="22"/>
        <v>520</v>
      </c>
    </row>
    <row r="40">
      <c r="A40" s="5">
        <v>39.0</v>
      </c>
      <c r="B40" s="5">
        <v>907424.0</v>
      </c>
      <c r="C40" s="3" t="s">
        <v>93</v>
      </c>
      <c r="D40" s="3" t="s">
        <v>94</v>
      </c>
      <c r="F40" s="5">
        <v>0.0</v>
      </c>
      <c r="G40" s="5">
        <v>0.0</v>
      </c>
      <c r="H40" s="5">
        <v>0.0</v>
      </c>
      <c r="I40" s="4">
        <f t="shared" si="1"/>
        <v>0</v>
      </c>
      <c r="J40" s="3">
        <v>200.0</v>
      </c>
      <c r="K40" s="4">
        <f t="shared" si="2"/>
        <v>0</v>
      </c>
      <c r="L40" s="4">
        <f t="shared" si="3"/>
        <v>0</v>
      </c>
      <c r="M40" s="3">
        <v>26.0</v>
      </c>
      <c r="N40" s="5">
        <v>24.0</v>
      </c>
      <c r="O40" s="5">
        <v>22.0</v>
      </c>
      <c r="P40" s="4">
        <f t="shared" si="4"/>
        <v>0</v>
      </c>
      <c r="Q40" s="4">
        <f t="shared" si="5"/>
        <v>0</v>
      </c>
      <c r="R40" s="4">
        <f t="shared" si="6"/>
        <v>0</v>
      </c>
      <c r="S40" s="4">
        <f t="shared" si="7"/>
        <v>0</v>
      </c>
      <c r="T40" s="4">
        <f t="shared" si="8"/>
        <v>0</v>
      </c>
      <c r="U40" s="3">
        <f t="shared" si="9"/>
        <v>0</v>
      </c>
      <c r="V40" s="4">
        <f t="shared" si="10"/>
        <v>846</v>
      </c>
      <c r="W40" s="4">
        <f t="shared" si="11"/>
        <v>846</v>
      </c>
      <c r="X40" s="4">
        <f t="shared" si="12"/>
        <v>0</v>
      </c>
      <c r="Y40" s="4">
        <f t="shared" si="13"/>
        <v>0</v>
      </c>
      <c r="Z40" s="4">
        <f t="shared" si="14"/>
        <v>0</v>
      </c>
      <c r="AA40" s="3">
        <v>0.0</v>
      </c>
      <c r="AC40" s="3">
        <v>250.0</v>
      </c>
      <c r="AF40" s="4">
        <f t="shared" si="15"/>
        <v>250</v>
      </c>
      <c r="AG40" s="4">
        <f t="shared" si="16"/>
        <v>596</v>
      </c>
      <c r="AH40" s="4">
        <f t="shared" si="17"/>
        <v>0</v>
      </c>
      <c r="AI40" s="4">
        <f t="shared" si="18"/>
        <v>0</v>
      </c>
      <c r="AK40" s="4">
        <f t="shared" si="19"/>
        <v>185</v>
      </c>
      <c r="AL40" s="4">
        <f t="shared" si="20"/>
        <v>1031</v>
      </c>
      <c r="AM40" s="4">
        <f t="shared" si="21"/>
        <v>9</v>
      </c>
      <c r="AN40" s="4">
        <f t="shared" si="22"/>
        <v>1040</v>
      </c>
    </row>
    <row r="41">
      <c r="A41" s="5">
        <v>40.0</v>
      </c>
      <c r="B41" s="5">
        <v>907426.0</v>
      </c>
      <c r="C41" s="3" t="s">
        <v>95</v>
      </c>
      <c r="D41" s="3" t="s">
        <v>94</v>
      </c>
      <c r="F41" s="5">
        <v>0.0</v>
      </c>
      <c r="G41" s="5">
        <v>0.0</v>
      </c>
      <c r="H41" s="5">
        <v>0.0</v>
      </c>
      <c r="I41" s="4">
        <f t="shared" si="1"/>
        <v>0</v>
      </c>
      <c r="J41" s="3">
        <v>200.0</v>
      </c>
      <c r="K41" s="4">
        <f t="shared" si="2"/>
        <v>0</v>
      </c>
      <c r="L41" s="4">
        <f t="shared" si="3"/>
        <v>0</v>
      </c>
      <c r="M41" s="3">
        <v>26.0</v>
      </c>
      <c r="N41" s="5">
        <v>7.0</v>
      </c>
      <c r="O41" s="5">
        <v>7.0</v>
      </c>
      <c r="P41" s="4">
        <f t="shared" si="4"/>
        <v>0</v>
      </c>
      <c r="Q41" s="4">
        <f t="shared" si="5"/>
        <v>0</v>
      </c>
      <c r="R41" s="4">
        <f t="shared" si="6"/>
        <v>0</v>
      </c>
      <c r="S41" s="4">
        <f t="shared" si="7"/>
        <v>0</v>
      </c>
      <c r="T41" s="4">
        <f t="shared" si="8"/>
        <v>0</v>
      </c>
      <c r="U41" s="3">
        <f t="shared" si="9"/>
        <v>0</v>
      </c>
      <c r="V41" s="4">
        <f t="shared" si="10"/>
        <v>269</v>
      </c>
      <c r="W41" s="4">
        <f t="shared" si="11"/>
        <v>269</v>
      </c>
      <c r="X41" s="4">
        <f t="shared" si="12"/>
        <v>0</v>
      </c>
      <c r="Y41" s="4">
        <f t="shared" si="13"/>
        <v>0</v>
      </c>
      <c r="Z41" s="4">
        <f t="shared" si="14"/>
        <v>0</v>
      </c>
      <c r="AA41" s="3">
        <v>0.0</v>
      </c>
      <c r="AC41" s="3">
        <v>250.0</v>
      </c>
      <c r="AF41" s="4">
        <f t="shared" si="15"/>
        <v>250</v>
      </c>
      <c r="AG41" s="4">
        <f t="shared" si="16"/>
        <v>19</v>
      </c>
      <c r="AH41" s="4">
        <f t="shared" si="17"/>
        <v>0</v>
      </c>
      <c r="AI41" s="4">
        <f t="shared" si="18"/>
        <v>0</v>
      </c>
      <c r="AK41" s="4">
        <f t="shared" si="19"/>
        <v>54</v>
      </c>
      <c r="AL41" s="4">
        <f t="shared" si="20"/>
        <v>323</v>
      </c>
      <c r="AM41" s="4">
        <f t="shared" si="21"/>
        <v>3</v>
      </c>
      <c r="AN41" s="4">
        <f t="shared" si="22"/>
        <v>326</v>
      </c>
    </row>
    <row r="42">
      <c r="A42" s="5">
        <v>41.0</v>
      </c>
      <c r="B42" s="5">
        <v>907416.0</v>
      </c>
      <c r="C42" s="3" t="s">
        <v>96</v>
      </c>
      <c r="D42" s="3" t="s">
        <v>97</v>
      </c>
      <c r="F42" s="5">
        <v>0.0</v>
      </c>
      <c r="G42" s="5">
        <v>0.0</v>
      </c>
      <c r="H42" s="5">
        <v>0.0</v>
      </c>
      <c r="I42" s="4">
        <f t="shared" si="1"/>
        <v>0</v>
      </c>
      <c r="J42" s="3">
        <v>200.0</v>
      </c>
      <c r="K42" s="4">
        <f t="shared" si="2"/>
        <v>0</v>
      </c>
      <c r="L42" s="4">
        <f t="shared" si="3"/>
        <v>0</v>
      </c>
      <c r="M42" s="3">
        <v>26.0</v>
      </c>
      <c r="N42" s="5">
        <v>24.0</v>
      </c>
      <c r="O42" s="5">
        <v>21.0</v>
      </c>
      <c r="P42" s="4">
        <f t="shared" si="4"/>
        <v>0</v>
      </c>
      <c r="Q42" s="4">
        <f t="shared" si="5"/>
        <v>0</v>
      </c>
      <c r="R42" s="4">
        <f t="shared" si="6"/>
        <v>0</v>
      </c>
      <c r="S42" s="4">
        <f t="shared" si="7"/>
        <v>0</v>
      </c>
      <c r="T42" s="4">
        <f t="shared" si="8"/>
        <v>0</v>
      </c>
      <c r="U42" s="3">
        <f t="shared" si="9"/>
        <v>0</v>
      </c>
      <c r="V42" s="4">
        <f t="shared" si="10"/>
        <v>808</v>
      </c>
      <c r="W42" s="4">
        <f t="shared" si="11"/>
        <v>808</v>
      </c>
      <c r="X42" s="4">
        <f t="shared" si="12"/>
        <v>0</v>
      </c>
      <c r="Y42" s="4">
        <f t="shared" si="13"/>
        <v>0</v>
      </c>
      <c r="Z42" s="4">
        <f t="shared" si="14"/>
        <v>0</v>
      </c>
      <c r="AA42" s="3">
        <v>0.0</v>
      </c>
      <c r="AC42" s="3">
        <v>250.0</v>
      </c>
      <c r="AF42" s="4">
        <f t="shared" si="15"/>
        <v>250</v>
      </c>
      <c r="AG42" s="4">
        <f t="shared" si="16"/>
        <v>558</v>
      </c>
      <c r="AH42" s="4">
        <f t="shared" si="17"/>
        <v>0</v>
      </c>
      <c r="AI42" s="4">
        <f t="shared" si="18"/>
        <v>0</v>
      </c>
      <c r="AK42" s="4">
        <f t="shared" si="19"/>
        <v>185</v>
      </c>
      <c r="AL42" s="4">
        <f t="shared" si="20"/>
        <v>993</v>
      </c>
      <c r="AM42" s="4">
        <f t="shared" si="21"/>
        <v>9</v>
      </c>
      <c r="AN42" s="4">
        <f t="shared" si="22"/>
        <v>1002</v>
      </c>
    </row>
    <row r="43">
      <c r="A43" s="5">
        <v>42.0</v>
      </c>
      <c r="B43" s="5">
        <v>907434.0</v>
      </c>
      <c r="C43" s="3" t="s">
        <v>98</v>
      </c>
      <c r="D43" s="3" t="s">
        <v>53</v>
      </c>
      <c r="F43" s="5">
        <v>6822.0</v>
      </c>
      <c r="G43" s="5">
        <v>8364.0</v>
      </c>
      <c r="H43" s="5">
        <v>2900.0</v>
      </c>
      <c r="M43" s="3"/>
      <c r="N43" s="5">
        <v>21.5</v>
      </c>
      <c r="O43" s="5">
        <v>20.0</v>
      </c>
      <c r="AC43" s="3"/>
    </row>
    <row r="44">
      <c r="A44" s="5" t="b">
        <v>0</v>
      </c>
      <c r="B44" s="5" t="b">
        <v>0</v>
      </c>
      <c r="C44" s="5" t="b">
        <v>0</v>
      </c>
      <c r="D44" s="5" t="b">
        <v>0</v>
      </c>
      <c r="F44" s="5">
        <v>0.0</v>
      </c>
      <c r="G44" s="5">
        <v>0.0</v>
      </c>
      <c r="H44" s="5">
        <v>0.0</v>
      </c>
      <c r="N44" s="5">
        <v>1201.5</v>
      </c>
      <c r="O44" s="5">
        <v>866.0</v>
      </c>
    </row>
  </sheetData>
  <drawing r:id="rId1"/>
</worksheet>
</file>