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KUMAR B\Downloads\"/>
    </mc:Choice>
  </mc:AlternateContent>
  <xr:revisionPtr revIDLastSave="0" documentId="8_{2BB6F571-9BF2-4C9B-9531-124FA10A4A06}" xr6:coauthVersionLast="47" xr6:coauthVersionMax="47" xr10:uidLastSave="{00000000-0000-0000-0000-000000000000}"/>
  <bookViews>
    <workbookView xWindow="-110" yWindow="-110" windowWidth="19420" windowHeight="10420" xr2:uid="{85C378DF-48A3-4F95-818E-D389DF1E2FA0}"/>
  </bookViews>
  <sheets>
    <sheet name="Sep Attendence" sheetId="1" r:id="rId1"/>
    <sheet name="Salary Brea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2" l="1"/>
  <c r="L24" i="2"/>
  <c r="K24" i="2"/>
  <c r="J24" i="2"/>
  <c r="I24" i="2"/>
  <c r="H24" i="2"/>
  <c r="G24" i="2"/>
  <c r="F24" i="2"/>
  <c r="E24" i="2"/>
  <c r="D24" i="2"/>
  <c r="C24" i="2"/>
  <c r="B24" i="2"/>
  <c r="E19" i="2"/>
  <c r="D19" i="2"/>
  <c r="C19" i="2"/>
  <c r="B19" i="2"/>
  <c r="H11" i="2"/>
  <c r="M10" i="2"/>
  <c r="L10" i="2"/>
  <c r="K10" i="2"/>
  <c r="J10" i="2"/>
  <c r="I10" i="2"/>
  <c r="H10" i="2"/>
  <c r="G10" i="2"/>
  <c r="F10" i="2"/>
  <c r="E10" i="2"/>
  <c r="D10" i="2"/>
  <c r="C10" i="2"/>
  <c r="B10" i="2"/>
  <c r="M8" i="2"/>
  <c r="L8" i="2"/>
  <c r="K8" i="2"/>
  <c r="J8" i="2"/>
  <c r="I8" i="2"/>
  <c r="H8" i="2"/>
  <c r="G8" i="2"/>
  <c r="F8" i="2"/>
  <c r="E8" i="2"/>
  <c r="D8" i="2"/>
  <c r="C8" i="2"/>
  <c r="B8" i="2"/>
  <c r="M7" i="2"/>
  <c r="L7" i="2"/>
  <c r="K7" i="2"/>
  <c r="J7" i="2"/>
  <c r="I7" i="2"/>
  <c r="H7" i="2"/>
  <c r="H23" i="2" s="1"/>
  <c r="G7" i="2"/>
  <c r="F7" i="2"/>
  <c r="F11" i="2" s="1"/>
  <c r="E7" i="2"/>
  <c r="D7" i="2"/>
  <c r="C7" i="2"/>
  <c r="B7" i="2"/>
  <c r="AJ45" i="1"/>
  <c r="AW44" i="1"/>
  <c r="AV44" i="1"/>
  <c r="AU44" i="1"/>
  <c r="AT44" i="1"/>
  <c r="AS44" i="1"/>
  <c r="AR44" i="1"/>
  <c r="AQ44" i="1"/>
  <c r="AP44" i="1"/>
  <c r="AO44" i="1"/>
  <c r="AN44" i="1"/>
  <c r="AM44" i="1"/>
  <c r="AK44" i="1" s="1"/>
  <c r="AL44" i="1"/>
  <c r="AW43" i="1"/>
  <c r="AV43" i="1"/>
  <c r="AU43" i="1"/>
  <c r="AT43" i="1"/>
  <c r="AS43" i="1"/>
  <c r="AR43" i="1"/>
  <c r="AK43" i="1" s="1"/>
  <c r="AQ43" i="1"/>
  <c r="AP43" i="1"/>
  <c r="AO43" i="1"/>
  <c r="AN43" i="1"/>
  <c r="AM43" i="1"/>
  <c r="AX43" i="1" s="1"/>
  <c r="AL43" i="1"/>
  <c r="AW42" i="1"/>
  <c r="AV42" i="1"/>
  <c r="AU42" i="1"/>
  <c r="AT42" i="1"/>
  <c r="AS42" i="1"/>
  <c r="AR42" i="1"/>
  <c r="AQ42" i="1"/>
  <c r="AP42" i="1"/>
  <c r="AX42" i="1" s="1"/>
  <c r="AO42" i="1"/>
  <c r="AN42" i="1"/>
  <c r="AM42" i="1"/>
  <c r="AK42" i="1" s="1"/>
  <c r="AL42" i="1"/>
  <c r="AW41" i="1"/>
  <c r="AV41" i="1"/>
  <c r="AU41" i="1"/>
  <c r="AT41" i="1"/>
  <c r="AS41" i="1"/>
  <c r="AR41" i="1"/>
  <c r="AQ41" i="1"/>
  <c r="AP41" i="1"/>
  <c r="AO41" i="1"/>
  <c r="AN41" i="1"/>
  <c r="AX41" i="1" s="1"/>
  <c r="AM41" i="1"/>
  <c r="AK41" i="1" s="1"/>
  <c r="AL41" i="1"/>
  <c r="AW40" i="1"/>
  <c r="AV40" i="1"/>
  <c r="AU40" i="1"/>
  <c r="AT40" i="1"/>
  <c r="AS40" i="1"/>
  <c r="AR40" i="1"/>
  <c r="AQ40" i="1"/>
  <c r="AP40" i="1"/>
  <c r="AO40" i="1"/>
  <c r="AN40" i="1"/>
  <c r="AM40" i="1"/>
  <c r="AK40" i="1" s="1"/>
  <c r="AL40" i="1"/>
  <c r="AW39" i="1"/>
  <c r="AV39" i="1"/>
  <c r="AU39" i="1"/>
  <c r="AT39" i="1"/>
  <c r="AS39" i="1"/>
  <c r="AR39" i="1"/>
  <c r="AK39" i="1" s="1"/>
  <c r="AQ39" i="1"/>
  <c r="AP39" i="1"/>
  <c r="AO39" i="1"/>
  <c r="AN39" i="1"/>
  <c r="AM39" i="1"/>
  <c r="AX39" i="1" s="1"/>
  <c r="AL39" i="1"/>
  <c r="AW38" i="1"/>
  <c r="AV38" i="1"/>
  <c r="AU38" i="1"/>
  <c r="AT38" i="1"/>
  <c r="AS38" i="1"/>
  <c r="AR38" i="1"/>
  <c r="AQ38" i="1"/>
  <c r="AP38" i="1"/>
  <c r="AX38" i="1" s="1"/>
  <c r="AO38" i="1"/>
  <c r="AN38" i="1"/>
  <c r="AM38" i="1"/>
  <c r="AK38" i="1" s="1"/>
  <c r="AL38" i="1"/>
  <c r="AW37" i="1"/>
  <c r="AV37" i="1"/>
  <c r="AU37" i="1"/>
  <c r="AT37" i="1"/>
  <c r="AS37" i="1"/>
  <c r="AR37" i="1"/>
  <c r="AQ37" i="1"/>
  <c r="AP37" i="1"/>
  <c r="AO37" i="1"/>
  <c r="AN37" i="1"/>
  <c r="AX37" i="1" s="1"/>
  <c r="AM37" i="1"/>
  <c r="AK37" i="1" s="1"/>
  <c r="AL37" i="1"/>
  <c r="AW36" i="1"/>
  <c r="AV36" i="1"/>
  <c r="AU36" i="1"/>
  <c r="AT36" i="1"/>
  <c r="AS36" i="1"/>
  <c r="AR36" i="1"/>
  <c r="AQ36" i="1"/>
  <c r="AP36" i="1"/>
  <c r="AO36" i="1"/>
  <c r="AN36" i="1"/>
  <c r="AM36" i="1"/>
  <c r="AK36" i="1" s="1"/>
  <c r="AL36" i="1"/>
  <c r="AW35" i="1"/>
  <c r="AV35" i="1"/>
  <c r="AU35" i="1"/>
  <c r="AT35" i="1"/>
  <c r="AS35" i="1"/>
  <c r="AR35" i="1"/>
  <c r="AK35" i="1" s="1"/>
  <c r="AQ35" i="1"/>
  <c r="AP35" i="1"/>
  <c r="AO35" i="1"/>
  <c r="AN35" i="1"/>
  <c r="AM35" i="1"/>
  <c r="AX35" i="1" s="1"/>
  <c r="AL35" i="1"/>
  <c r="AW34" i="1"/>
  <c r="AV34" i="1"/>
  <c r="AU34" i="1"/>
  <c r="AT34" i="1"/>
  <c r="AS34" i="1"/>
  <c r="AR34" i="1"/>
  <c r="AQ34" i="1"/>
  <c r="AP34" i="1"/>
  <c r="AX34" i="1" s="1"/>
  <c r="AO34" i="1"/>
  <c r="AN34" i="1"/>
  <c r="AM34" i="1"/>
  <c r="AK34" i="1" s="1"/>
  <c r="AL34" i="1"/>
  <c r="AW33" i="1"/>
  <c r="AV33" i="1"/>
  <c r="AU33" i="1"/>
  <c r="AT33" i="1"/>
  <c r="AS33" i="1"/>
  <c r="AR33" i="1"/>
  <c r="AQ33" i="1"/>
  <c r="AP33" i="1"/>
  <c r="AO33" i="1"/>
  <c r="AN33" i="1"/>
  <c r="AK33" i="1" s="1"/>
  <c r="AM33" i="1"/>
  <c r="AL33" i="1"/>
  <c r="AW32" i="1"/>
  <c r="AV32" i="1"/>
  <c r="AU32" i="1"/>
  <c r="AT32" i="1"/>
  <c r="AS32" i="1"/>
  <c r="AR32" i="1"/>
  <c r="AQ32" i="1"/>
  <c r="AP32" i="1"/>
  <c r="AO32" i="1"/>
  <c r="AN32" i="1"/>
  <c r="AM32" i="1"/>
  <c r="AK32" i="1" s="1"/>
  <c r="AL32" i="1"/>
  <c r="AW31" i="1"/>
  <c r="AV31" i="1"/>
  <c r="AU31" i="1"/>
  <c r="AT31" i="1"/>
  <c r="AS31" i="1"/>
  <c r="AR31" i="1"/>
  <c r="AK31" i="1" s="1"/>
  <c r="AQ31" i="1"/>
  <c r="AP31" i="1"/>
  <c r="AO31" i="1"/>
  <c r="AN31" i="1"/>
  <c r="AM31" i="1"/>
  <c r="AX31" i="1" s="1"/>
  <c r="AL31" i="1"/>
  <c r="AW30" i="1"/>
  <c r="AV30" i="1"/>
  <c r="AU30" i="1"/>
  <c r="AT30" i="1"/>
  <c r="AS30" i="1"/>
  <c r="AR30" i="1"/>
  <c r="AQ30" i="1"/>
  <c r="AP30" i="1"/>
  <c r="AX30" i="1" s="1"/>
  <c r="AO30" i="1"/>
  <c r="AN30" i="1"/>
  <c r="AM30" i="1"/>
  <c r="AK30" i="1" s="1"/>
  <c r="AL30" i="1"/>
  <c r="AW29" i="1"/>
  <c r="AV29" i="1"/>
  <c r="AU29" i="1"/>
  <c r="AT29" i="1"/>
  <c r="AS29" i="1"/>
  <c r="AR29" i="1"/>
  <c r="AQ29" i="1"/>
  <c r="AP29" i="1"/>
  <c r="AO29" i="1"/>
  <c r="AN29" i="1"/>
  <c r="AK29" i="1" s="1"/>
  <c r="AM29" i="1"/>
  <c r="AL29" i="1"/>
  <c r="AW28" i="1"/>
  <c r="AV28" i="1"/>
  <c r="AU28" i="1"/>
  <c r="AT28" i="1"/>
  <c r="AS28" i="1"/>
  <c r="AR28" i="1"/>
  <c r="AQ28" i="1"/>
  <c r="AP28" i="1"/>
  <c r="AO28" i="1"/>
  <c r="AN28" i="1"/>
  <c r="AM28" i="1"/>
  <c r="AK28" i="1" s="1"/>
  <c r="AL28" i="1"/>
  <c r="AW27" i="1"/>
  <c r="AV27" i="1"/>
  <c r="AU27" i="1"/>
  <c r="AT27" i="1"/>
  <c r="AS27" i="1"/>
  <c r="AR27" i="1"/>
  <c r="AK27" i="1" s="1"/>
  <c r="AQ27" i="1"/>
  <c r="AP27" i="1"/>
  <c r="AO27" i="1"/>
  <c r="AN27" i="1"/>
  <c r="AM27" i="1"/>
  <c r="AX27" i="1" s="1"/>
  <c r="AL27" i="1"/>
  <c r="AW26" i="1"/>
  <c r="AV26" i="1"/>
  <c r="AU26" i="1"/>
  <c r="AT26" i="1"/>
  <c r="AS26" i="1"/>
  <c r="AR26" i="1"/>
  <c r="AQ26" i="1"/>
  <c r="AP26" i="1"/>
  <c r="AX26" i="1" s="1"/>
  <c r="AO26" i="1"/>
  <c r="AN26" i="1"/>
  <c r="AM26" i="1"/>
  <c r="AK26" i="1" s="1"/>
  <c r="AL26" i="1"/>
  <c r="AW25" i="1"/>
  <c r="AV25" i="1"/>
  <c r="AU25" i="1"/>
  <c r="AT25" i="1"/>
  <c r="AS25" i="1"/>
  <c r="AR25" i="1"/>
  <c r="AQ25" i="1"/>
  <c r="AP25" i="1"/>
  <c r="AO25" i="1"/>
  <c r="AN25" i="1"/>
  <c r="AK25" i="1" s="1"/>
  <c r="AM25" i="1"/>
  <c r="AL25" i="1"/>
  <c r="AW24" i="1"/>
  <c r="AV24" i="1"/>
  <c r="AU24" i="1"/>
  <c r="AT24" i="1"/>
  <c r="AS24" i="1"/>
  <c r="AR24" i="1"/>
  <c r="AQ24" i="1"/>
  <c r="AP24" i="1"/>
  <c r="AO24" i="1"/>
  <c r="AN24" i="1"/>
  <c r="AM24" i="1"/>
  <c r="AK24" i="1" s="1"/>
  <c r="AL24" i="1"/>
  <c r="AW23" i="1"/>
  <c r="AV23" i="1"/>
  <c r="AU23" i="1"/>
  <c r="AT23" i="1"/>
  <c r="AS23" i="1"/>
  <c r="AR23" i="1"/>
  <c r="AK23" i="1" s="1"/>
  <c r="AQ23" i="1"/>
  <c r="AP23" i="1"/>
  <c r="AO23" i="1"/>
  <c r="AN23" i="1"/>
  <c r="AM23" i="1"/>
  <c r="AX23" i="1" s="1"/>
  <c r="AL23" i="1"/>
  <c r="AW22" i="1"/>
  <c r="AV22" i="1"/>
  <c r="AU22" i="1"/>
  <c r="AT22" i="1"/>
  <c r="AS22" i="1"/>
  <c r="AR22" i="1"/>
  <c r="AQ22" i="1"/>
  <c r="AP22" i="1"/>
  <c r="AX22" i="1" s="1"/>
  <c r="AO22" i="1"/>
  <c r="AN22" i="1"/>
  <c r="AM22" i="1"/>
  <c r="AK22" i="1" s="1"/>
  <c r="AL22" i="1"/>
  <c r="AW21" i="1"/>
  <c r="AV21" i="1"/>
  <c r="AU21" i="1"/>
  <c r="AT21" i="1"/>
  <c r="AS21" i="1"/>
  <c r="AR21" i="1"/>
  <c r="AQ21" i="1"/>
  <c r="AP21" i="1"/>
  <c r="AO21" i="1"/>
  <c r="AN21" i="1"/>
  <c r="AK21" i="1" s="1"/>
  <c r="AM21" i="1"/>
  <c r="AL21" i="1"/>
  <c r="AW20" i="1"/>
  <c r="AV20" i="1"/>
  <c r="AU20" i="1"/>
  <c r="AT20" i="1"/>
  <c r="AS20" i="1"/>
  <c r="AR20" i="1"/>
  <c r="AQ20" i="1"/>
  <c r="AP20" i="1"/>
  <c r="AO20" i="1"/>
  <c r="AN20" i="1"/>
  <c r="AM20" i="1"/>
  <c r="AK20" i="1" s="1"/>
  <c r="AL20" i="1"/>
  <c r="AW19" i="1"/>
  <c r="AV19" i="1"/>
  <c r="AU19" i="1"/>
  <c r="AT19" i="1"/>
  <c r="AS19" i="1"/>
  <c r="AR19" i="1"/>
  <c r="AK19" i="1" s="1"/>
  <c r="AQ19" i="1"/>
  <c r="AP19" i="1"/>
  <c r="AO19" i="1"/>
  <c r="AN19" i="1"/>
  <c r="AM19" i="1"/>
  <c r="AX19" i="1" s="1"/>
  <c r="AL19" i="1"/>
  <c r="AW18" i="1"/>
  <c r="AV18" i="1"/>
  <c r="AU18" i="1"/>
  <c r="AT18" i="1"/>
  <c r="AS18" i="1"/>
  <c r="AR18" i="1"/>
  <c r="AQ18" i="1"/>
  <c r="AP18" i="1"/>
  <c r="AX18" i="1" s="1"/>
  <c r="AO18" i="1"/>
  <c r="AN18" i="1"/>
  <c r="AM18" i="1"/>
  <c r="AK18" i="1" s="1"/>
  <c r="AL18" i="1"/>
  <c r="AW17" i="1"/>
  <c r="AV17" i="1"/>
  <c r="AU17" i="1"/>
  <c r="AT17" i="1"/>
  <c r="AS17" i="1"/>
  <c r="AR17" i="1"/>
  <c r="AQ17" i="1"/>
  <c r="AP17" i="1"/>
  <c r="AO17" i="1"/>
  <c r="AN17" i="1"/>
  <c r="AK17" i="1" s="1"/>
  <c r="AM17" i="1"/>
  <c r="AL17" i="1"/>
  <c r="AW16" i="1"/>
  <c r="AV16" i="1"/>
  <c r="AU16" i="1"/>
  <c r="AT16" i="1"/>
  <c r="AS16" i="1"/>
  <c r="AR16" i="1"/>
  <c r="AQ16" i="1"/>
  <c r="AP16" i="1"/>
  <c r="AO16" i="1"/>
  <c r="AN16" i="1"/>
  <c r="AM16" i="1"/>
  <c r="AK16" i="1" s="1"/>
  <c r="AL16" i="1"/>
  <c r="AW15" i="1"/>
  <c r="AV15" i="1"/>
  <c r="AU15" i="1"/>
  <c r="AT15" i="1"/>
  <c r="AS15" i="1"/>
  <c r="AR15" i="1"/>
  <c r="AK15" i="1" s="1"/>
  <c r="AQ15" i="1"/>
  <c r="AP15" i="1"/>
  <c r="AO15" i="1"/>
  <c r="AN15" i="1"/>
  <c r="AM15" i="1"/>
  <c r="AX15" i="1" s="1"/>
  <c r="AL15" i="1"/>
  <c r="AW14" i="1"/>
  <c r="AV14" i="1"/>
  <c r="AU14" i="1"/>
  <c r="AT14" i="1"/>
  <c r="AS14" i="1"/>
  <c r="AR14" i="1"/>
  <c r="AQ14" i="1"/>
  <c r="AP14" i="1"/>
  <c r="AX14" i="1" s="1"/>
  <c r="AO14" i="1"/>
  <c r="AN14" i="1"/>
  <c r="AM14" i="1"/>
  <c r="AK14" i="1" s="1"/>
  <c r="AL14" i="1"/>
  <c r="AW13" i="1"/>
  <c r="AV13" i="1"/>
  <c r="AU13" i="1"/>
  <c r="AT13" i="1"/>
  <c r="AS13" i="1"/>
  <c r="AR13" i="1"/>
  <c r="AQ13" i="1"/>
  <c r="AP13" i="1"/>
  <c r="AO13" i="1"/>
  <c r="AN13" i="1"/>
  <c r="AX13" i="1" s="1"/>
  <c r="AM13" i="1"/>
  <c r="AK13" i="1" s="1"/>
  <c r="AL13" i="1"/>
  <c r="AW12" i="1"/>
  <c r="AV12" i="1"/>
  <c r="AU12" i="1"/>
  <c r="AT12" i="1"/>
  <c r="AS12" i="1"/>
  <c r="AR12" i="1"/>
  <c r="AQ12" i="1"/>
  <c r="AP12" i="1"/>
  <c r="AO12" i="1"/>
  <c r="AN12" i="1"/>
  <c r="AM12" i="1"/>
  <c r="AK12" i="1" s="1"/>
  <c r="AL12" i="1"/>
  <c r="AW11" i="1"/>
  <c r="AV11" i="1"/>
  <c r="AU11" i="1"/>
  <c r="AT11" i="1"/>
  <c r="AS11" i="1"/>
  <c r="AR11" i="1"/>
  <c r="AK11" i="1" s="1"/>
  <c r="AQ11" i="1"/>
  <c r="AP11" i="1"/>
  <c r="AO11" i="1"/>
  <c r="AN11" i="1"/>
  <c r="AM11" i="1"/>
  <c r="AX11" i="1" s="1"/>
  <c r="AL11" i="1"/>
  <c r="AW10" i="1"/>
  <c r="AV10" i="1"/>
  <c r="AU10" i="1"/>
  <c r="AT10" i="1"/>
  <c r="AS10" i="1"/>
  <c r="AR10" i="1"/>
  <c r="AQ10" i="1"/>
  <c r="AP10" i="1"/>
  <c r="AX10" i="1" s="1"/>
  <c r="AO10" i="1"/>
  <c r="AN10" i="1"/>
  <c r="AM10" i="1"/>
  <c r="AK10" i="1" s="1"/>
  <c r="AL10" i="1"/>
  <c r="AW9" i="1"/>
  <c r="AV9" i="1"/>
  <c r="AU9" i="1"/>
  <c r="AT9" i="1"/>
  <c r="AS9" i="1"/>
  <c r="AR9" i="1"/>
  <c r="AQ9" i="1"/>
  <c r="AP9" i="1"/>
  <c r="AO9" i="1"/>
  <c r="AN9" i="1"/>
  <c r="AX9" i="1" s="1"/>
  <c r="AM9" i="1"/>
  <c r="AK9" i="1" s="1"/>
  <c r="AL9" i="1"/>
  <c r="AW8" i="1"/>
  <c r="AV8" i="1"/>
  <c r="AU8" i="1"/>
  <c r="AT8" i="1"/>
  <c r="AS8" i="1"/>
  <c r="AR8" i="1"/>
  <c r="AQ8" i="1"/>
  <c r="AP8" i="1"/>
  <c r="AO8" i="1"/>
  <c r="AN8" i="1"/>
  <c r="AM8" i="1"/>
  <c r="AK8" i="1" s="1"/>
  <c r="AL8" i="1"/>
  <c r="AW7" i="1"/>
  <c r="AV7" i="1"/>
  <c r="AU7" i="1"/>
  <c r="AT7" i="1"/>
  <c r="AS7" i="1"/>
  <c r="AR7" i="1"/>
  <c r="AK7" i="1" s="1"/>
  <c r="AQ7" i="1"/>
  <c r="AP7" i="1"/>
  <c r="AO7" i="1"/>
  <c r="AX7" i="1" s="1"/>
  <c r="AN7" i="1"/>
  <c r="AM7" i="1"/>
  <c r="AL7" i="1"/>
  <c r="AW6" i="1"/>
  <c r="AV6" i="1"/>
  <c r="AU6" i="1"/>
  <c r="AT6" i="1"/>
  <c r="AS6" i="1"/>
  <c r="AR6" i="1"/>
  <c r="AQ6" i="1"/>
  <c r="AP6" i="1"/>
  <c r="AX6" i="1" s="1"/>
  <c r="AO6" i="1"/>
  <c r="AN6" i="1"/>
  <c r="AM6" i="1"/>
  <c r="AK6" i="1" s="1"/>
  <c r="AL6" i="1"/>
  <c r="AW5" i="1"/>
  <c r="AV5" i="1"/>
  <c r="AU5" i="1"/>
  <c r="AT5" i="1"/>
  <c r="AS5" i="1"/>
  <c r="AR5" i="1"/>
  <c r="AQ5" i="1"/>
  <c r="AP5" i="1"/>
  <c r="AO5" i="1"/>
  <c r="AN5" i="1"/>
  <c r="AX5" i="1" s="1"/>
  <c r="AM5" i="1"/>
  <c r="AK5" i="1" s="1"/>
  <c r="AL5" i="1"/>
  <c r="AW4" i="1"/>
  <c r="AV4" i="1"/>
  <c r="AU4" i="1"/>
  <c r="AT4" i="1"/>
  <c r="AS4" i="1"/>
  <c r="AR4" i="1"/>
  <c r="AQ4" i="1"/>
  <c r="AP4" i="1"/>
  <c r="AO4" i="1"/>
  <c r="AN4" i="1"/>
  <c r="AM4" i="1"/>
  <c r="AK4" i="1" s="1"/>
  <c r="AL4" i="1"/>
  <c r="AW3" i="1"/>
  <c r="AV3" i="1"/>
  <c r="AU3" i="1"/>
  <c r="AT3" i="1"/>
  <c r="AS3" i="1"/>
  <c r="AR3" i="1"/>
  <c r="AK3" i="1" s="1"/>
  <c r="AK45" i="1" s="1"/>
  <c r="AQ3" i="1"/>
  <c r="AP3" i="1"/>
  <c r="AO3" i="1"/>
  <c r="AX3" i="1" s="1"/>
  <c r="AN3" i="1"/>
  <c r="AM3" i="1"/>
  <c r="AL3" i="1"/>
  <c r="AL45" i="1" s="1"/>
  <c r="I23" i="2" l="1"/>
  <c r="B23" i="2"/>
  <c r="E23" i="2"/>
  <c r="M23" i="2"/>
  <c r="H27" i="2"/>
  <c r="H29" i="2" s="1"/>
  <c r="H25" i="2"/>
  <c r="D23" i="2"/>
  <c r="G11" i="2"/>
  <c r="G9" i="2" s="1"/>
  <c r="G13" i="2" s="1"/>
  <c r="G14" i="2" s="1"/>
  <c r="G23" i="2"/>
  <c r="H9" i="2"/>
  <c r="H13" i="2" s="1"/>
  <c r="H14" i="2" s="1"/>
  <c r="I11" i="2"/>
  <c r="I9" i="2" s="1"/>
  <c r="I13" i="2" s="1"/>
  <c r="I14" i="2" s="1"/>
  <c r="B11" i="2"/>
  <c r="B20" i="2" s="1"/>
  <c r="B21" i="2" s="1"/>
  <c r="J11" i="2"/>
  <c r="J23" i="2" s="1"/>
  <c r="F23" i="2"/>
  <c r="D11" i="2"/>
  <c r="D20" i="2" s="1"/>
  <c r="D21" i="2" s="1"/>
  <c r="L11" i="2"/>
  <c r="L23" i="2" s="1"/>
  <c r="F9" i="2"/>
  <c r="F13" i="2" s="1"/>
  <c r="F14" i="2" s="1"/>
  <c r="C11" i="2"/>
  <c r="C20" i="2" s="1"/>
  <c r="C21" i="2" s="1"/>
  <c r="K11" i="2"/>
  <c r="K9" i="2" s="1"/>
  <c r="K13" i="2" s="1"/>
  <c r="K14" i="2" s="1"/>
  <c r="E11" i="2"/>
  <c r="E20" i="2" s="1"/>
  <c r="E21" i="2" s="1"/>
  <c r="M11" i="2"/>
  <c r="M9" i="2" s="1"/>
  <c r="M13" i="2" s="1"/>
  <c r="M14" i="2" s="1"/>
  <c r="AX25" i="1"/>
  <c r="AX21" i="1"/>
  <c r="AX33" i="1"/>
  <c r="AX17" i="1"/>
  <c r="AX29" i="1"/>
  <c r="AX4" i="1"/>
  <c r="AX8" i="1"/>
  <c r="AX12" i="1"/>
  <c r="AX16" i="1"/>
  <c r="AX20" i="1"/>
  <c r="AX24" i="1"/>
  <c r="AX28" i="1"/>
  <c r="AX32" i="1"/>
  <c r="AX36" i="1"/>
  <c r="AX40" i="1"/>
  <c r="AX44" i="1"/>
  <c r="G15" i="2" l="1"/>
  <c r="G17" i="2" s="1"/>
  <c r="M17" i="2"/>
  <c r="M15" i="2"/>
  <c r="L25" i="2"/>
  <c r="L27" i="2"/>
  <c r="L29" i="2" s="1"/>
  <c r="J25" i="2"/>
  <c r="J27" i="2" s="1"/>
  <c r="J29" i="2" s="1"/>
  <c r="K17" i="2"/>
  <c r="K15" i="2"/>
  <c r="H15" i="2"/>
  <c r="H17" i="2" s="1"/>
  <c r="I15" i="2"/>
  <c r="I17" i="2"/>
  <c r="F15" i="2"/>
  <c r="F17" i="2" s="1"/>
  <c r="M25" i="2"/>
  <c r="M27" i="2" s="1"/>
  <c r="M29" i="2" s="1"/>
  <c r="G27" i="2"/>
  <c r="G29" i="2" s="1"/>
  <c r="G25" i="2"/>
  <c r="C9" i="2"/>
  <c r="C13" i="2" s="1"/>
  <c r="C14" i="2" s="1"/>
  <c r="L9" i="2"/>
  <c r="L13" i="2" s="1"/>
  <c r="L14" i="2" s="1"/>
  <c r="J9" i="2"/>
  <c r="J13" i="2" s="1"/>
  <c r="J14" i="2" s="1"/>
  <c r="I27" i="2"/>
  <c r="I29" i="2" s="1"/>
  <c r="I25" i="2"/>
  <c r="D9" i="2"/>
  <c r="D13" i="2" s="1"/>
  <c r="D14" i="2" s="1"/>
  <c r="B9" i="2"/>
  <c r="B13" i="2" s="1"/>
  <c r="B14" i="2" s="1"/>
  <c r="K23" i="2"/>
  <c r="E9" i="2"/>
  <c r="E13" i="2" s="1"/>
  <c r="E14" i="2" s="1"/>
  <c r="F25" i="2"/>
  <c r="F27" i="2"/>
  <c r="F29" i="2" s="1"/>
  <c r="C23" i="2"/>
  <c r="D25" i="2"/>
  <c r="D27" i="2" s="1"/>
  <c r="D29" i="2" s="1"/>
  <c r="B27" i="2"/>
  <c r="B29" i="2" s="1"/>
  <c r="B25" i="2"/>
  <c r="E25" i="2"/>
  <c r="E27" i="2"/>
  <c r="E29" i="2" s="1"/>
  <c r="E15" i="2" l="1"/>
  <c r="E17" i="2" s="1"/>
  <c r="C17" i="2"/>
  <c r="C15" i="2"/>
  <c r="K25" i="2"/>
  <c r="K27" i="2"/>
  <c r="K29" i="2" s="1"/>
  <c r="J15" i="2"/>
  <c r="J17" i="2" s="1"/>
  <c r="L17" i="2"/>
  <c r="L15" i="2"/>
  <c r="B15" i="2"/>
  <c r="B17" i="2" s="1"/>
  <c r="D15" i="2"/>
  <c r="D17" i="2" s="1"/>
  <c r="C25" i="2"/>
  <c r="C27" i="2"/>
  <c r="C29" i="2" s="1"/>
</calcChain>
</file>

<file path=xl/sharedStrings.xml><?xml version="1.0" encoding="utf-8"?>
<sst xmlns="http://schemas.openxmlformats.org/spreadsheetml/2006/main" count="1052" uniqueCount="109">
  <si>
    <t xml:space="preserve"> Sep 2025 - CL Muster Report </t>
  </si>
  <si>
    <t>S No</t>
  </si>
  <si>
    <t>Emp No</t>
  </si>
  <si>
    <t>Name</t>
  </si>
  <si>
    <t>Contractor</t>
  </si>
  <si>
    <t>Designation</t>
  </si>
  <si>
    <t>H</t>
  </si>
  <si>
    <t>Total</t>
  </si>
  <si>
    <t>Conveyance Days</t>
  </si>
  <si>
    <t>A</t>
  </si>
  <si>
    <t>B</t>
  </si>
  <si>
    <t>C</t>
  </si>
  <si>
    <t>G</t>
  </si>
  <si>
    <t>A7TO7</t>
  </si>
  <si>
    <t>B7TO7</t>
  </si>
  <si>
    <t>A+B</t>
  </si>
  <si>
    <t>B+C</t>
  </si>
  <si>
    <t>G+B</t>
  </si>
  <si>
    <t>HD</t>
  </si>
  <si>
    <t>8HRS</t>
  </si>
  <si>
    <t>CHANDRAMOHAN</t>
  </si>
  <si>
    <t>Talntworx Technologies Pvt. Ltd.</t>
  </si>
  <si>
    <t>Casual Labour</t>
  </si>
  <si>
    <t>K VIJAY KRISHNA KUMAR</t>
  </si>
  <si>
    <t>Jr. Supervisor</t>
  </si>
  <si>
    <t>Himanshu Mallik</t>
  </si>
  <si>
    <t>B Venkataiah Chinnabba</t>
  </si>
  <si>
    <t>Tr. Supervisor</t>
  </si>
  <si>
    <t>K Dorai</t>
  </si>
  <si>
    <t>Nagan P</t>
  </si>
  <si>
    <t>G SURESH</t>
  </si>
  <si>
    <t>SANTU KUMAR</t>
  </si>
  <si>
    <t>RAUSHAN KUMAR</t>
  </si>
  <si>
    <t>S KIRAN KUMAR</t>
  </si>
  <si>
    <t>BAMBAM THAKUR</t>
  </si>
  <si>
    <t>Sandip Kumar</t>
  </si>
  <si>
    <t>Kali Paswan</t>
  </si>
  <si>
    <t>Etwari Murmu</t>
  </si>
  <si>
    <t>Pradeep Mahto</t>
  </si>
  <si>
    <t>Akalu Hembram</t>
  </si>
  <si>
    <t>Rajesh Kumar Mahto</t>
  </si>
  <si>
    <t>Mahesh Kumar Tuda</t>
  </si>
  <si>
    <t>Hari Tudu</t>
  </si>
  <si>
    <t>M Janardana</t>
  </si>
  <si>
    <t>Rupesh Kumar Thakur</t>
  </si>
  <si>
    <t>Ranuj Pegu</t>
  </si>
  <si>
    <t>Pankaj Kumar Mahto</t>
  </si>
  <si>
    <t>Vikram Soren</t>
  </si>
  <si>
    <t>Chandan Kumar</t>
  </si>
  <si>
    <t>Bittu Sona</t>
  </si>
  <si>
    <t>Rajkishor Hembram</t>
  </si>
  <si>
    <t>Rajkumar Mahto</t>
  </si>
  <si>
    <t>Anand Kumar Manjhi</t>
  </si>
  <si>
    <t>Dhiraj Kumar</t>
  </si>
  <si>
    <t>Raju Mahto</t>
  </si>
  <si>
    <t>Mantu Kumar Thakur</t>
  </si>
  <si>
    <t>Niklas Mondol</t>
  </si>
  <si>
    <t>S Mustafa</t>
  </si>
  <si>
    <t>KUPPAMPATI POLAIAH</t>
  </si>
  <si>
    <t>Sr. MHE</t>
  </si>
  <si>
    <t>R Sankar</t>
  </si>
  <si>
    <t>Balaji</t>
  </si>
  <si>
    <t>S Karthik</t>
  </si>
  <si>
    <t>DEO</t>
  </si>
  <si>
    <t>K Munaswamy</t>
  </si>
  <si>
    <t>Jr. DEO</t>
  </si>
  <si>
    <t>C Gowtham</t>
  </si>
  <si>
    <t>V Jayaprakash</t>
  </si>
  <si>
    <t>Supervisor</t>
  </si>
  <si>
    <t>J Muni Prathap</t>
  </si>
  <si>
    <t xml:space="preserve">Blue Ocea Cost workings for Apollo Logistics </t>
  </si>
  <si>
    <t xml:space="preserve">New Break Apr 25 To Sep 25 - revised </t>
  </si>
  <si>
    <t>PARTICULARS</t>
  </si>
  <si>
    <t>Casual Labour (Unskilled)</t>
  </si>
  <si>
    <t>Jr. MHE Operator (Semi Skilled)</t>
  </si>
  <si>
    <t>MHE Operator (Skilled)</t>
  </si>
  <si>
    <t>Sr. MHE Operator (Skilled)</t>
  </si>
  <si>
    <t>Trainee Supervisor (Semi Skilled)</t>
  </si>
  <si>
    <t>Jr. Supervisor (Semi Skilled)</t>
  </si>
  <si>
    <t>Supervisor (Skilled)</t>
  </si>
  <si>
    <t>Sr. Supervisor (Skilled)</t>
  </si>
  <si>
    <t>Trainee DEO (Semi Skilled)</t>
  </si>
  <si>
    <t>Jr. DEO
(Skilled)</t>
  </si>
  <si>
    <t>DEO
(Skilled)</t>
  </si>
  <si>
    <t>Sr. DEO
(Skilled)</t>
  </si>
  <si>
    <t>BASIC WAGES</t>
  </si>
  <si>
    <t>VDA</t>
  </si>
  <si>
    <t>Conveyance</t>
  </si>
  <si>
    <t>HRA</t>
  </si>
  <si>
    <t xml:space="preserve"> Total  A</t>
  </si>
  <si>
    <t xml:space="preserve">PF @ 13% </t>
  </si>
  <si>
    <t>ESIC @3.25%</t>
  </si>
  <si>
    <t xml:space="preserve">Bonus @ 8.33% </t>
  </si>
  <si>
    <t>Leave 1.25  PM</t>
  </si>
  <si>
    <t>Uniform</t>
  </si>
  <si>
    <t>Total B</t>
  </si>
  <si>
    <t>Total (A+B)</t>
  </si>
  <si>
    <t>Admin. Expenses 5%</t>
  </si>
  <si>
    <t xml:space="preserve">Transport Cost </t>
  </si>
  <si>
    <t>Grand Total- CTC / 26 Days</t>
  </si>
  <si>
    <t>PF Emp</t>
  </si>
  <si>
    <t>ESI Emp</t>
  </si>
  <si>
    <t>A. Take Home</t>
  </si>
  <si>
    <t>Gross</t>
  </si>
  <si>
    <t>PF 12%</t>
  </si>
  <si>
    <t>ESIC 0.75%</t>
  </si>
  <si>
    <t>PT</t>
  </si>
  <si>
    <t>Net Take home</t>
  </si>
  <si>
    <t xml:space="preserve">Perday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</si>
</sst>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1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FFFFFF"/>
      <name val="Century Gothic"/>
      <family val="2"/>
    </font>
    <font>
      <b/>
      <sz val="10"/>
      <name val="Century Gothic"/>
      <family val="2"/>
    </font>
    <font>
      <b/>
      <sz val="8"/>
      <color rgb="FF000000"/>
      <name val="Tahoma"/>
      <family val="2"/>
    </font>
    <font>
      <sz val="10"/>
      <color rgb="FF000000"/>
      <name val="Calibri"/>
      <family val="2"/>
    </font>
    <font>
      <sz val="12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</font>
    <font>
      <b/>
      <sz val="12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sz val="9"/>
      <color rgb="FF000000"/>
      <name val="Calibri"/>
      <family val="2"/>
    </font>
    <font>
      <b/>
      <sz val="16"/>
      <color rgb="FFFFFFFF"/>
      <name val="Century Gothic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7E62A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164" fontId="7" fillId="0" borderId="0">
      <alignment vertical="top"/>
      <protection locked="0"/>
    </xf>
  </cellStyleXfs>
  <cellXfs count="5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0" fillId="0" borderId="0" xfId="0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wrapText="1"/>
    </xf>
    <xf numFmtId="0" fontId="5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wrapText="1"/>
    </xf>
    <xf numFmtId="0" fontId="4" fillId="4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2" fillId="0" borderId="6" xfId="0" applyFont="1" applyBorder="1"/>
    <xf numFmtId="0" fontId="8" fillId="5" borderId="4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/>
    <xf numFmtId="0" fontId="12" fillId="0" borderId="4" xfId="0" applyFont="1" applyBorder="1" applyAlignment="1">
      <alignment horizontal="left" vertical="center"/>
    </xf>
    <xf numFmtId="1" fontId="13" fillId="6" borderId="4" xfId="1" applyNumberFormat="1" applyFont="1" applyFill="1" applyBorder="1" applyAlignment="1" applyProtection="1">
      <alignment horizontal="center" vertical="center"/>
    </xf>
    <xf numFmtId="0" fontId="2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/>
    <xf numFmtId="0" fontId="12" fillId="4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left" vertical="center"/>
    </xf>
    <xf numFmtId="1" fontId="16" fillId="7" borderId="4" xfId="1" applyNumberFormat="1" applyFont="1" applyFill="1" applyBorder="1" applyAlignment="1" applyProtection="1">
      <alignment horizontal="center" vertical="center"/>
    </xf>
    <xf numFmtId="1" fontId="13" fillId="0" borderId="4" xfId="1" applyNumberFormat="1" applyFont="1" applyBorder="1" applyAlignment="1" applyProtection="1">
      <alignment horizontal="center" vertical="center"/>
    </xf>
    <xf numFmtId="1" fontId="16" fillId="0" borderId="4" xfId="1" applyNumberFormat="1" applyFont="1" applyBorder="1" applyAlignment="1" applyProtection="1">
      <alignment horizontal="center" vertical="center"/>
    </xf>
    <xf numFmtId="0" fontId="12" fillId="7" borderId="4" xfId="0" applyFont="1" applyFill="1" applyBorder="1" applyAlignment="1">
      <alignment horizontal="left" vertical="center"/>
    </xf>
    <xf numFmtId="1" fontId="13" fillId="7" borderId="4" xfId="1" applyNumberFormat="1" applyFont="1" applyFill="1" applyBorder="1" applyAlignment="1" applyProtection="1">
      <alignment horizontal="center" vertical="center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18" fillId="0" borderId="0" xfId="0" applyFont="1"/>
    <xf numFmtId="1" fontId="13" fillId="8" borderId="4" xfId="0" applyNumberFormat="1" applyFont="1" applyFill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1" fontId="16" fillId="8" borderId="4" xfId="0" applyNumberFormat="1" applyFont="1" applyFill="1" applyBorder="1" applyAlignment="1">
      <alignment horizontal="center"/>
    </xf>
    <xf numFmtId="1" fontId="19" fillId="4" borderId="9" xfId="0" applyNumberFormat="1" applyFont="1" applyFill="1" applyBorder="1" applyAlignment="1">
      <alignment horizontal="center"/>
    </xf>
    <xf numFmtId="2" fontId="20" fillId="4" borderId="10" xfId="0" applyNumberFormat="1" applyFont="1" applyFill="1" applyBorder="1" applyAlignment="1">
      <alignment horizontal="center"/>
    </xf>
  </cellXfs>
  <cellStyles count="2">
    <cellStyle name="Comma 3 2" xfId="1" xr:uid="{18D7B28C-E7AE-43A0-9100-0E001B4368E9}"/>
    <cellStyle name="Normal" xfId="0" builtinId="0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12C8-C631-47E5-B1D1-5417783988D0}">
  <dimension ref="A1:AX47"/>
  <sheetViews>
    <sheetView tabSelected="1" workbookViewId="0">
      <selection activeCell="C13" sqref="C13"/>
    </sheetView>
  </sheetViews>
  <sheetFormatPr defaultColWidth="10" defaultRowHeight="14.5" x14ac:dyDescent="0.35"/>
  <cols>
    <col min="1" max="1" width="6.26953125" style="5" customWidth="1"/>
    <col min="2" max="2" width="9.453125" style="5" customWidth="1"/>
    <col min="3" max="3" width="37.1796875" style="28" customWidth="1"/>
    <col min="4" max="4" width="27.90625" style="5" bestFit="1" customWidth="1"/>
    <col min="5" max="5" width="15.453125" style="29" customWidth="1"/>
    <col min="6" max="13" width="7.453125" customWidth="1"/>
    <col min="14" max="14" width="7.453125" style="30" customWidth="1"/>
    <col min="15" max="15" width="8.453125" style="30" customWidth="1"/>
    <col min="16" max="36" width="8.453125" customWidth="1"/>
    <col min="37" max="37" width="6.453125" customWidth="1"/>
    <col min="38" max="38" width="13.26953125" style="5" customWidth="1"/>
    <col min="39" max="42" width="9.1796875" style="5" customWidth="1"/>
    <col min="43" max="16384" width="10" style="5"/>
  </cols>
  <sheetData>
    <row r="1" spans="1:50" ht="18.75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</row>
    <row r="2" spans="1:50" ht="28.5" customHeight="1" x14ac:dyDescent="0.35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6">
        <v>1</v>
      </c>
      <c r="G2" s="6">
        <v>2</v>
      </c>
      <c r="H2" s="6">
        <v>3</v>
      </c>
      <c r="I2" s="6">
        <v>4</v>
      </c>
      <c r="J2" s="6">
        <v>5</v>
      </c>
      <c r="K2" s="6">
        <v>6</v>
      </c>
      <c r="L2" s="6">
        <v>7</v>
      </c>
      <c r="M2" s="6">
        <v>8</v>
      </c>
      <c r="N2" s="6">
        <v>9</v>
      </c>
      <c r="O2" s="6">
        <v>10</v>
      </c>
      <c r="P2" s="6">
        <v>11</v>
      </c>
      <c r="Q2" s="6">
        <v>12</v>
      </c>
      <c r="R2" s="6">
        <v>13</v>
      </c>
      <c r="S2" s="6">
        <v>14</v>
      </c>
      <c r="T2" s="6">
        <v>15</v>
      </c>
      <c r="U2" s="6">
        <v>16</v>
      </c>
      <c r="V2" s="6">
        <v>17</v>
      </c>
      <c r="W2" s="6">
        <v>18</v>
      </c>
      <c r="X2" s="6">
        <v>19</v>
      </c>
      <c r="Y2" s="6">
        <v>20</v>
      </c>
      <c r="Z2" s="6">
        <v>21</v>
      </c>
      <c r="AA2" s="6">
        <v>22</v>
      </c>
      <c r="AB2" s="6">
        <v>23</v>
      </c>
      <c r="AC2" s="6">
        <v>24</v>
      </c>
      <c r="AD2" s="6">
        <v>25</v>
      </c>
      <c r="AE2" s="6">
        <v>26</v>
      </c>
      <c r="AF2" s="6">
        <v>27</v>
      </c>
      <c r="AG2" s="6">
        <v>28</v>
      </c>
      <c r="AH2" s="6">
        <v>29</v>
      </c>
      <c r="AI2" s="6">
        <v>30</v>
      </c>
      <c r="AJ2" s="6" t="s">
        <v>6</v>
      </c>
      <c r="AK2" s="6" t="s">
        <v>7</v>
      </c>
      <c r="AL2" s="6" t="s">
        <v>8</v>
      </c>
      <c r="AM2" s="5" t="s">
        <v>9</v>
      </c>
      <c r="AN2" s="9" t="s">
        <v>10</v>
      </c>
      <c r="AO2" s="9" t="s">
        <v>11</v>
      </c>
      <c r="AP2" s="9" t="s">
        <v>12</v>
      </c>
      <c r="AQ2" s="9" t="s">
        <v>13</v>
      </c>
      <c r="AR2" s="9" t="s">
        <v>14</v>
      </c>
      <c r="AS2" s="9" t="s">
        <v>15</v>
      </c>
      <c r="AT2" s="9" t="s">
        <v>16</v>
      </c>
      <c r="AU2" s="9" t="s">
        <v>17</v>
      </c>
      <c r="AV2" s="9" t="s">
        <v>18</v>
      </c>
      <c r="AW2" s="9" t="s">
        <v>6</v>
      </c>
      <c r="AX2" s="9" t="s">
        <v>19</v>
      </c>
    </row>
    <row r="3" spans="1:50" x14ac:dyDescent="0.35">
      <c r="A3" s="10">
        <v>1</v>
      </c>
      <c r="B3" s="11">
        <v>907393</v>
      </c>
      <c r="C3" s="12" t="s">
        <v>20</v>
      </c>
      <c r="D3" s="13" t="s">
        <v>21</v>
      </c>
      <c r="E3" s="13" t="s">
        <v>22</v>
      </c>
      <c r="F3" s="14" t="s">
        <v>14</v>
      </c>
      <c r="G3" s="14" t="s">
        <v>14</v>
      </c>
      <c r="H3" s="14"/>
      <c r="I3" s="14" t="s">
        <v>9</v>
      </c>
      <c r="J3" s="14" t="s">
        <v>13</v>
      </c>
      <c r="K3" s="14" t="s">
        <v>13</v>
      </c>
      <c r="L3" s="14"/>
      <c r="M3" s="14" t="s">
        <v>9</v>
      </c>
      <c r="N3" s="14" t="s">
        <v>13</v>
      </c>
      <c r="O3" s="14" t="s">
        <v>13</v>
      </c>
      <c r="P3" s="14" t="s">
        <v>9</v>
      </c>
      <c r="Q3" s="14" t="s">
        <v>9</v>
      </c>
      <c r="R3" s="14" t="s">
        <v>13</v>
      </c>
      <c r="S3" s="14"/>
      <c r="T3" s="14" t="s">
        <v>14</v>
      </c>
      <c r="U3" s="14" t="s">
        <v>14</v>
      </c>
      <c r="V3" s="14" t="s">
        <v>14</v>
      </c>
      <c r="W3" s="14" t="s">
        <v>14</v>
      </c>
      <c r="X3" s="14" t="s">
        <v>14</v>
      </c>
      <c r="Y3" s="14" t="s">
        <v>10</v>
      </c>
      <c r="Z3" s="14"/>
      <c r="AA3" s="14" t="s">
        <v>13</v>
      </c>
      <c r="AB3" s="14"/>
      <c r="AC3" s="14" t="s">
        <v>13</v>
      </c>
      <c r="AD3" s="14" t="s">
        <v>9</v>
      </c>
      <c r="AE3" s="14" t="s">
        <v>13</v>
      </c>
      <c r="AF3" s="14" t="s">
        <v>9</v>
      </c>
      <c r="AG3" s="14" t="s">
        <v>13</v>
      </c>
      <c r="AH3" s="14" t="s">
        <v>13</v>
      </c>
      <c r="AI3" s="14"/>
      <c r="AJ3" s="14"/>
      <c r="AK3" s="15">
        <f>SUM(AM3:AW3)</f>
        <v>32.5</v>
      </c>
      <c r="AL3" s="4">
        <f t="shared" ref="AL3:AL44" si="0">+COUNTA(F3:AI3)</f>
        <v>24</v>
      </c>
      <c r="AM3" s="5">
        <f t="shared" ref="AM3:AM44" si="1">COUNTIF(F3:AI3,"A")</f>
        <v>6</v>
      </c>
      <c r="AN3" s="5">
        <f t="shared" ref="AN3:AN44" si="2">COUNTIF(F3:AI3,"B")</f>
        <v>1</v>
      </c>
      <c r="AO3" s="5">
        <f t="shared" ref="AO3:AO44" si="3">COUNTIF(F3:AI3,"C")</f>
        <v>0</v>
      </c>
      <c r="AP3" s="5">
        <f t="shared" ref="AP3:AP44" si="4">COUNTIF(F3:AI3,"G")</f>
        <v>0</v>
      </c>
      <c r="AQ3" s="5">
        <f t="shared" ref="AQ3:AQ44" si="5">COUNTIF(F3:AI3,"A7TO7")*1.5</f>
        <v>15</v>
      </c>
      <c r="AR3" s="5">
        <f t="shared" ref="AR3:AR44" si="6">COUNTIF(F3:AI3,"B7TO7")*1.5</f>
        <v>10.5</v>
      </c>
      <c r="AS3" s="5">
        <f t="shared" ref="AS3:AS44" si="7">COUNTIF(F3:AI3,"A+B")*2</f>
        <v>0</v>
      </c>
      <c r="AT3" s="5">
        <f t="shared" ref="AT3:AT44" si="8">COUNTIF(F3:AI3,"B+C")*2</f>
        <v>0</v>
      </c>
      <c r="AU3" s="5">
        <f t="shared" ref="AU3:AU44" si="9">COUNTIF(F3:AI3,"G+B")*1.5</f>
        <v>0</v>
      </c>
      <c r="AV3" s="5">
        <f t="shared" ref="AV3:AV44" si="10">COUNTIF(F3:AI3,"HD")*0.5</f>
        <v>0</v>
      </c>
      <c r="AW3" s="5">
        <f>AJ3</f>
        <v>0</v>
      </c>
      <c r="AX3" s="5">
        <f>SUM(AM3:AP3)</f>
        <v>7</v>
      </c>
    </row>
    <row r="4" spans="1:50" ht="15" customHeight="1" x14ac:dyDescent="0.35">
      <c r="A4" s="10">
        <v>2</v>
      </c>
      <c r="B4" s="11">
        <v>907394</v>
      </c>
      <c r="C4" s="12" t="s">
        <v>23</v>
      </c>
      <c r="D4" s="13" t="s">
        <v>21</v>
      </c>
      <c r="E4" s="13" t="s">
        <v>24</v>
      </c>
      <c r="F4" s="14"/>
      <c r="G4" s="14"/>
      <c r="H4" s="14"/>
      <c r="I4" s="14"/>
      <c r="J4" s="14" t="s">
        <v>13</v>
      </c>
      <c r="K4" s="14" t="s">
        <v>13</v>
      </c>
      <c r="L4" s="14" t="s">
        <v>15</v>
      </c>
      <c r="M4" s="16" t="s">
        <v>9</v>
      </c>
      <c r="N4" s="14" t="s">
        <v>13</v>
      </c>
      <c r="O4" s="14" t="s">
        <v>15</v>
      </c>
      <c r="P4" s="14" t="s">
        <v>13</v>
      </c>
      <c r="Q4" s="14"/>
      <c r="R4" s="14" t="s">
        <v>15</v>
      </c>
      <c r="S4" s="14" t="s">
        <v>13</v>
      </c>
      <c r="T4" s="14" t="s">
        <v>9</v>
      </c>
      <c r="U4" s="14" t="s">
        <v>13</v>
      </c>
      <c r="V4" s="14" t="s">
        <v>15</v>
      </c>
      <c r="W4" s="14" t="s">
        <v>13</v>
      </c>
      <c r="X4" s="14"/>
      <c r="Y4" s="14" t="s">
        <v>13</v>
      </c>
      <c r="Z4" s="14" t="s">
        <v>13</v>
      </c>
      <c r="AA4" s="14" t="s">
        <v>13</v>
      </c>
      <c r="AB4" s="14" t="s">
        <v>13</v>
      </c>
      <c r="AC4" s="14" t="s">
        <v>15</v>
      </c>
      <c r="AD4" s="14" t="s">
        <v>13</v>
      </c>
      <c r="AE4" s="14" t="s">
        <v>15</v>
      </c>
      <c r="AF4" s="14" t="s">
        <v>13</v>
      </c>
      <c r="AG4" s="14"/>
      <c r="AH4" s="14" t="s">
        <v>15</v>
      </c>
      <c r="AI4" s="14" t="s">
        <v>15</v>
      </c>
      <c r="AJ4" s="14"/>
      <c r="AK4" s="15">
        <f t="shared" ref="AK4:AK44" si="11">SUM(AM4:AW4)</f>
        <v>37.5</v>
      </c>
      <c r="AL4" s="4">
        <f t="shared" si="0"/>
        <v>23</v>
      </c>
      <c r="AM4" s="5">
        <f t="shared" si="1"/>
        <v>2</v>
      </c>
      <c r="AN4" s="5">
        <f t="shared" si="2"/>
        <v>0</v>
      </c>
      <c r="AO4" s="5">
        <f t="shared" si="3"/>
        <v>0</v>
      </c>
      <c r="AP4" s="5">
        <f t="shared" si="4"/>
        <v>0</v>
      </c>
      <c r="AQ4" s="5">
        <f t="shared" si="5"/>
        <v>19.5</v>
      </c>
      <c r="AR4" s="5">
        <f t="shared" si="6"/>
        <v>0</v>
      </c>
      <c r="AS4" s="5">
        <f t="shared" si="7"/>
        <v>16</v>
      </c>
      <c r="AT4" s="5">
        <f t="shared" si="8"/>
        <v>0</v>
      </c>
      <c r="AU4" s="5">
        <f t="shared" si="9"/>
        <v>0</v>
      </c>
      <c r="AV4" s="5">
        <f t="shared" si="10"/>
        <v>0</v>
      </c>
      <c r="AW4" s="5">
        <f t="shared" ref="AW4:AW44" si="12">AJ4</f>
        <v>0</v>
      </c>
      <c r="AX4" s="5">
        <f t="shared" ref="AX4:AX44" si="13">SUM(AM4:AP4)</f>
        <v>2</v>
      </c>
    </row>
    <row r="5" spans="1:50" ht="15" customHeight="1" x14ac:dyDescent="0.35">
      <c r="A5" s="10">
        <v>3</v>
      </c>
      <c r="B5" s="11">
        <v>907395</v>
      </c>
      <c r="C5" s="12" t="s">
        <v>25</v>
      </c>
      <c r="D5" s="13" t="s">
        <v>21</v>
      </c>
      <c r="E5" s="13" t="s">
        <v>22</v>
      </c>
      <c r="F5" s="14" t="s">
        <v>14</v>
      </c>
      <c r="G5" s="14" t="s">
        <v>14</v>
      </c>
      <c r="H5" s="14" t="s">
        <v>14</v>
      </c>
      <c r="I5" s="14"/>
      <c r="J5" s="14" t="s">
        <v>10</v>
      </c>
      <c r="K5" s="14" t="s">
        <v>13</v>
      </c>
      <c r="L5" s="14" t="s">
        <v>13</v>
      </c>
      <c r="M5" s="14"/>
      <c r="N5" s="14"/>
      <c r="O5" s="17"/>
      <c r="P5" s="17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5">
        <f t="shared" si="11"/>
        <v>8.5</v>
      </c>
      <c r="AL5" s="4">
        <f t="shared" si="0"/>
        <v>6</v>
      </c>
      <c r="AM5" s="5">
        <f t="shared" si="1"/>
        <v>0</v>
      </c>
      <c r="AN5" s="5">
        <f t="shared" si="2"/>
        <v>1</v>
      </c>
      <c r="AO5" s="5">
        <f t="shared" si="3"/>
        <v>0</v>
      </c>
      <c r="AP5" s="5">
        <f t="shared" si="4"/>
        <v>0</v>
      </c>
      <c r="AQ5" s="5">
        <f t="shared" si="5"/>
        <v>3</v>
      </c>
      <c r="AR5" s="5">
        <f t="shared" si="6"/>
        <v>4.5</v>
      </c>
      <c r="AS5" s="5">
        <f t="shared" si="7"/>
        <v>0</v>
      </c>
      <c r="AT5" s="5">
        <f t="shared" si="8"/>
        <v>0</v>
      </c>
      <c r="AU5" s="5">
        <f t="shared" si="9"/>
        <v>0</v>
      </c>
      <c r="AV5" s="5">
        <f t="shared" si="10"/>
        <v>0</v>
      </c>
      <c r="AW5" s="5">
        <f t="shared" si="12"/>
        <v>0</v>
      </c>
      <c r="AX5" s="5">
        <f t="shared" si="13"/>
        <v>1</v>
      </c>
    </row>
    <row r="6" spans="1:50" ht="15" customHeight="1" x14ac:dyDescent="0.35">
      <c r="A6" s="10">
        <v>4</v>
      </c>
      <c r="B6" s="18">
        <v>907396</v>
      </c>
      <c r="C6" s="19" t="s">
        <v>26</v>
      </c>
      <c r="D6" s="13" t="s">
        <v>21</v>
      </c>
      <c r="E6" s="19" t="s">
        <v>27</v>
      </c>
      <c r="F6" s="14" t="s">
        <v>12</v>
      </c>
      <c r="G6" s="14" t="s">
        <v>9</v>
      </c>
      <c r="H6" s="14" t="s">
        <v>12</v>
      </c>
      <c r="I6" s="14" t="s">
        <v>12</v>
      </c>
      <c r="J6" s="14" t="s">
        <v>12</v>
      </c>
      <c r="K6" s="14" t="s">
        <v>9</v>
      </c>
      <c r="L6" s="14"/>
      <c r="M6" s="14" t="s">
        <v>12</v>
      </c>
      <c r="N6" s="14" t="s">
        <v>12</v>
      </c>
      <c r="O6" s="14" t="s">
        <v>12</v>
      </c>
      <c r="P6" s="14" t="s">
        <v>12</v>
      </c>
      <c r="Q6" s="14" t="s">
        <v>9</v>
      </c>
      <c r="R6" s="14" t="s">
        <v>9</v>
      </c>
      <c r="S6" s="14"/>
      <c r="T6" s="14"/>
      <c r="U6" s="14" t="s">
        <v>9</v>
      </c>
      <c r="V6" s="14" t="s">
        <v>12</v>
      </c>
      <c r="W6" s="14" t="s">
        <v>12</v>
      </c>
      <c r="X6" s="14"/>
      <c r="Y6" s="14" t="s">
        <v>9</v>
      </c>
      <c r="Z6" s="14"/>
      <c r="AA6" s="14" t="s">
        <v>12</v>
      </c>
      <c r="AB6" s="14"/>
      <c r="AC6" s="14" t="s">
        <v>13</v>
      </c>
      <c r="AD6" s="14" t="s">
        <v>9</v>
      </c>
      <c r="AE6" s="14" t="s">
        <v>9</v>
      </c>
      <c r="AF6" s="14" t="s">
        <v>12</v>
      </c>
      <c r="AG6" s="14" t="s">
        <v>15</v>
      </c>
      <c r="AH6" s="14" t="s">
        <v>12</v>
      </c>
      <c r="AI6" s="14" t="s">
        <v>13</v>
      </c>
      <c r="AJ6" s="14"/>
      <c r="AK6" s="15">
        <f t="shared" si="11"/>
        <v>26</v>
      </c>
      <c r="AL6" s="4">
        <f t="shared" si="0"/>
        <v>24</v>
      </c>
      <c r="AM6" s="5">
        <f t="shared" si="1"/>
        <v>8</v>
      </c>
      <c r="AN6" s="5">
        <f t="shared" si="2"/>
        <v>0</v>
      </c>
      <c r="AO6" s="5">
        <f t="shared" si="3"/>
        <v>0</v>
      </c>
      <c r="AP6" s="5">
        <f t="shared" si="4"/>
        <v>13</v>
      </c>
      <c r="AQ6" s="5">
        <f t="shared" si="5"/>
        <v>3</v>
      </c>
      <c r="AR6" s="5">
        <f t="shared" si="6"/>
        <v>0</v>
      </c>
      <c r="AS6" s="5">
        <f t="shared" si="7"/>
        <v>2</v>
      </c>
      <c r="AT6" s="5">
        <f t="shared" si="8"/>
        <v>0</v>
      </c>
      <c r="AU6" s="5">
        <f t="shared" si="9"/>
        <v>0</v>
      </c>
      <c r="AV6" s="5">
        <f t="shared" si="10"/>
        <v>0</v>
      </c>
      <c r="AW6" s="5">
        <f t="shared" si="12"/>
        <v>0</v>
      </c>
      <c r="AX6" s="5">
        <f t="shared" si="13"/>
        <v>21</v>
      </c>
    </row>
    <row r="7" spans="1:50" x14ac:dyDescent="0.35">
      <c r="A7" s="10">
        <v>5</v>
      </c>
      <c r="B7" s="18">
        <v>907397</v>
      </c>
      <c r="C7" s="19" t="s">
        <v>28</v>
      </c>
      <c r="D7" s="13" t="s">
        <v>21</v>
      </c>
      <c r="E7" s="19" t="s">
        <v>22</v>
      </c>
      <c r="F7" s="14" t="s">
        <v>13</v>
      </c>
      <c r="G7" s="14" t="s">
        <v>13</v>
      </c>
      <c r="H7" s="14" t="s">
        <v>13</v>
      </c>
      <c r="I7" s="14"/>
      <c r="J7" s="14" t="s">
        <v>13</v>
      </c>
      <c r="K7" s="14" t="s">
        <v>13</v>
      </c>
      <c r="L7" s="14" t="s">
        <v>9</v>
      </c>
      <c r="M7" s="14" t="s">
        <v>13</v>
      </c>
      <c r="N7" s="14" t="s">
        <v>13</v>
      </c>
      <c r="O7" s="14" t="s">
        <v>13</v>
      </c>
      <c r="P7" s="14"/>
      <c r="Q7" s="14" t="s">
        <v>9</v>
      </c>
      <c r="R7" s="14"/>
      <c r="S7" s="17"/>
      <c r="T7" s="14" t="s">
        <v>13</v>
      </c>
      <c r="U7" s="14" t="s">
        <v>13</v>
      </c>
      <c r="V7" s="14" t="s">
        <v>13</v>
      </c>
      <c r="W7" s="14" t="s">
        <v>9</v>
      </c>
      <c r="X7" s="14" t="s">
        <v>13</v>
      </c>
      <c r="Y7" s="14" t="s">
        <v>13</v>
      </c>
      <c r="Z7" s="14"/>
      <c r="AA7" s="14" t="s">
        <v>13</v>
      </c>
      <c r="AB7" s="14" t="s">
        <v>13</v>
      </c>
      <c r="AC7" s="14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14"/>
      <c r="AI7" s="14" t="s">
        <v>13</v>
      </c>
      <c r="AJ7" s="14"/>
      <c r="AK7" s="15">
        <f t="shared" si="11"/>
        <v>34.5</v>
      </c>
      <c r="AL7" s="4">
        <f t="shared" si="0"/>
        <v>24</v>
      </c>
      <c r="AM7" s="5">
        <f t="shared" si="1"/>
        <v>3</v>
      </c>
      <c r="AN7" s="5">
        <f t="shared" si="2"/>
        <v>0</v>
      </c>
      <c r="AO7" s="5">
        <f t="shared" si="3"/>
        <v>0</v>
      </c>
      <c r="AP7" s="5">
        <f t="shared" si="4"/>
        <v>0</v>
      </c>
      <c r="AQ7" s="5">
        <f t="shared" si="5"/>
        <v>31.5</v>
      </c>
      <c r="AR7" s="5">
        <f t="shared" si="6"/>
        <v>0</v>
      </c>
      <c r="AS7" s="5">
        <f t="shared" si="7"/>
        <v>0</v>
      </c>
      <c r="AT7" s="5">
        <f t="shared" si="8"/>
        <v>0</v>
      </c>
      <c r="AU7" s="5">
        <f t="shared" si="9"/>
        <v>0</v>
      </c>
      <c r="AV7" s="5">
        <f t="shared" si="10"/>
        <v>0</v>
      </c>
      <c r="AW7" s="5">
        <f t="shared" si="12"/>
        <v>0</v>
      </c>
      <c r="AX7" s="5">
        <f t="shared" si="13"/>
        <v>3</v>
      </c>
    </row>
    <row r="8" spans="1:50" ht="15" customHeight="1" x14ac:dyDescent="0.35">
      <c r="A8" s="10">
        <v>6</v>
      </c>
      <c r="B8" s="18">
        <v>907398</v>
      </c>
      <c r="C8" s="19" t="s">
        <v>29</v>
      </c>
      <c r="D8" s="13" t="s">
        <v>21</v>
      </c>
      <c r="E8" s="19" t="s">
        <v>22</v>
      </c>
      <c r="F8" s="14"/>
      <c r="G8" s="14" t="s">
        <v>12</v>
      </c>
      <c r="H8" s="14" t="s">
        <v>12</v>
      </c>
      <c r="I8" s="14" t="s">
        <v>12</v>
      </c>
      <c r="J8" s="14" t="s">
        <v>12</v>
      </c>
      <c r="K8" s="14" t="s">
        <v>12</v>
      </c>
      <c r="L8" s="14"/>
      <c r="M8" s="14" t="s">
        <v>12</v>
      </c>
      <c r="N8" s="14" t="s">
        <v>12</v>
      </c>
      <c r="O8" s="14" t="s">
        <v>12</v>
      </c>
      <c r="P8" s="14" t="s">
        <v>12</v>
      </c>
      <c r="Q8" s="14" t="s">
        <v>12</v>
      </c>
      <c r="R8" s="14" t="s">
        <v>12</v>
      </c>
      <c r="S8" s="14"/>
      <c r="T8" s="14" t="s">
        <v>12</v>
      </c>
      <c r="U8" s="14" t="s">
        <v>12</v>
      </c>
      <c r="V8" s="14" t="s">
        <v>12</v>
      </c>
      <c r="W8" s="14" t="s">
        <v>12</v>
      </c>
      <c r="X8" s="14" t="s">
        <v>12</v>
      </c>
      <c r="Y8" s="14" t="s">
        <v>13</v>
      </c>
      <c r="Z8" s="14"/>
      <c r="AA8" s="14" t="s">
        <v>12</v>
      </c>
      <c r="AB8" s="14" t="s">
        <v>12</v>
      </c>
      <c r="AC8" s="14" t="s">
        <v>12</v>
      </c>
      <c r="AD8" s="14" t="s">
        <v>12</v>
      </c>
      <c r="AE8" s="14" t="s">
        <v>12</v>
      </c>
      <c r="AF8" s="14" t="s">
        <v>12</v>
      </c>
      <c r="AG8" s="14" t="s">
        <v>12</v>
      </c>
      <c r="AH8" s="14" t="s">
        <v>12</v>
      </c>
      <c r="AI8" s="14" t="s">
        <v>12</v>
      </c>
      <c r="AJ8" s="14"/>
      <c r="AK8" s="15">
        <f t="shared" si="11"/>
        <v>26.5</v>
      </c>
      <c r="AL8" s="4">
        <f t="shared" si="0"/>
        <v>26</v>
      </c>
      <c r="AM8" s="5">
        <f t="shared" si="1"/>
        <v>0</v>
      </c>
      <c r="AN8" s="5">
        <f t="shared" si="2"/>
        <v>0</v>
      </c>
      <c r="AO8" s="5">
        <f t="shared" si="3"/>
        <v>0</v>
      </c>
      <c r="AP8" s="5">
        <f t="shared" si="4"/>
        <v>25</v>
      </c>
      <c r="AQ8" s="5">
        <f t="shared" si="5"/>
        <v>1.5</v>
      </c>
      <c r="AR8" s="5">
        <f t="shared" si="6"/>
        <v>0</v>
      </c>
      <c r="AS8" s="5">
        <f t="shared" si="7"/>
        <v>0</v>
      </c>
      <c r="AT8" s="5">
        <f t="shared" si="8"/>
        <v>0</v>
      </c>
      <c r="AU8" s="5">
        <f t="shared" si="9"/>
        <v>0</v>
      </c>
      <c r="AV8" s="5">
        <f t="shared" si="10"/>
        <v>0</v>
      </c>
      <c r="AW8" s="5">
        <f t="shared" si="12"/>
        <v>0</v>
      </c>
      <c r="AX8" s="5">
        <f t="shared" si="13"/>
        <v>25</v>
      </c>
    </row>
    <row r="9" spans="1:50" x14ac:dyDescent="0.35">
      <c r="A9" s="10">
        <v>7</v>
      </c>
      <c r="B9" s="18">
        <v>907399</v>
      </c>
      <c r="C9" s="19" t="s">
        <v>30</v>
      </c>
      <c r="D9" s="13" t="s">
        <v>21</v>
      </c>
      <c r="E9" s="13" t="s">
        <v>22</v>
      </c>
      <c r="F9" s="14"/>
      <c r="G9" s="14" t="s">
        <v>14</v>
      </c>
      <c r="H9" s="14" t="s">
        <v>14</v>
      </c>
      <c r="I9" s="14" t="s">
        <v>14</v>
      </c>
      <c r="J9" s="14" t="s">
        <v>14</v>
      </c>
      <c r="K9" s="14" t="s">
        <v>14</v>
      </c>
      <c r="L9" s="14"/>
      <c r="M9" s="14" t="s">
        <v>9</v>
      </c>
      <c r="N9" s="14" t="s">
        <v>13</v>
      </c>
      <c r="O9" s="14" t="s">
        <v>13</v>
      </c>
      <c r="P9" s="14" t="s">
        <v>13</v>
      </c>
      <c r="Q9" s="14" t="s">
        <v>9</v>
      </c>
      <c r="R9" s="14" t="s">
        <v>13</v>
      </c>
      <c r="S9" s="14"/>
      <c r="T9" s="17"/>
      <c r="U9" s="14" t="s">
        <v>10</v>
      </c>
      <c r="V9" s="14" t="s">
        <v>14</v>
      </c>
      <c r="W9" s="14" t="s">
        <v>14</v>
      </c>
      <c r="X9" s="14" t="s">
        <v>14</v>
      </c>
      <c r="Y9" s="14" t="s">
        <v>14</v>
      </c>
      <c r="Z9" s="14" t="s">
        <v>14</v>
      </c>
      <c r="AA9" s="14"/>
      <c r="AB9" s="14" t="s">
        <v>9</v>
      </c>
      <c r="AC9" s="17"/>
      <c r="AD9" s="14" t="s">
        <v>13</v>
      </c>
      <c r="AE9" s="14" t="s">
        <v>13</v>
      </c>
      <c r="AF9" s="14" t="s">
        <v>13</v>
      </c>
      <c r="AG9" s="14" t="s">
        <v>13</v>
      </c>
      <c r="AH9" s="14"/>
      <c r="AI9" s="14" t="s">
        <v>14</v>
      </c>
      <c r="AJ9" s="14"/>
      <c r="AK9" s="15">
        <f t="shared" si="11"/>
        <v>32.5</v>
      </c>
      <c r="AL9" s="4">
        <f t="shared" si="0"/>
        <v>23</v>
      </c>
      <c r="AM9" s="5">
        <f t="shared" si="1"/>
        <v>3</v>
      </c>
      <c r="AN9" s="5">
        <f t="shared" si="2"/>
        <v>1</v>
      </c>
      <c r="AO9" s="5">
        <f t="shared" si="3"/>
        <v>0</v>
      </c>
      <c r="AP9" s="5">
        <f t="shared" si="4"/>
        <v>0</v>
      </c>
      <c r="AQ9" s="5">
        <f t="shared" si="5"/>
        <v>12</v>
      </c>
      <c r="AR9" s="5">
        <f t="shared" si="6"/>
        <v>16.5</v>
      </c>
      <c r="AS9" s="5">
        <f t="shared" si="7"/>
        <v>0</v>
      </c>
      <c r="AT9" s="5">
        <f t="shared" si="8"/>
        <v>0</v>
      </c>
      <c r="AU9" s="5">
        <f t="shared" si="9"/>
        <v>0</v>
      </c>
      <c r="AV9" s="5">
        <f t="shared" si="10"/>
        <v>0</v>
      </c>
      <c r="AW9" s="5">
        <f t="shared" si="12"/>
        <v>0</v>
      </c>
      <c r="AX9" s="5">
        <f t="shared" si="13"/>
        <v>4</v>
      </c>
    </row>
    <row r="10" spans="1:50" x14ac:dyDescent="0.35">
      <c r="A10" s="10">
        <v>8</v>
      </c>
      <c r="B10" s="18">
        <v>907400</v>
      </c>
      <c r="C10" s="19" t="s">
        <v>31</v>
      </c>
      <c r="D10" s="13" t="s">
        <v>21</v>
      </c>
      <c r="E10" s="13" t="s">
        <v>22</v>
      </c>
      <c r="F10" s="14" t="s">
        <v>14</v>
      </c>
      <c r="G10" s="14" t="s">
        <v>14</v>
      </c>
      <c r="H10" s="14"/>
      <c r="I10" s="14" t="s">
        <v>13</v>
      </c>
      <c r="J10" s="14" t="s">
        <v>13</v>
      </c>
      <c r="K10" s="14" t="s">
        <v>13</v>
      </c>
      <c r="L10" s="14" t="s">
        <v>13</v>
      </c>
      <c r="M10" s="14" t="s">
        <v>13</v>
      </c>
      <c r="N10" s="14"/>
      <c r="O10" s="14" t="s">
        <v>14</v>
      </c>
      <c r="P10" s="14" t="s">
        <v>14</v>
      </c>
      <c r="Q10" s="14" t="s">
        <v>14</v>
      </c>
      <c r="R10" s="14" t="s">
        <v>14</v>
      </c>
      <c r="S10" s="14" t="s">
        <v>14</v>
      </c>
      <c r="T10" s="14" t="s">
        <v>14</v>
      </c>
      <c r="U10" s="14"/>
      <c r="V10" s="14" t="s">
        <v>13</v>
      </c>
      <c r="W10" s="14" t="s">
        <v>13</v>
      </c>
      <c r="X10" s="14" t="s">
        <v>13</v>
      </c>
      <c r="Y10" s="14" t="s">
        <v>13</v>
      </c>
      <c r="Z10" s="14" t="s">
        <v>13</v>
      </c>
      <c r="AA10" s="14"/>
      <c r="AB10" s="14" t="s">
        <v>14</v>
      </c>
      <c r="AC10" s="14" t="s">
        <v>14</v>
      </c>
      <c r="AD10" s="14" t="s">
        <v>14</v>
      </c>
      <c r="AE10" s="14" t="s">
        <v>14</v>
      </c>
      <c r="AF10" s="14" t="s">
        <v>14</v>
      </c>
      <c r="AG10" s="14" t="s">
        <v>14</v>
      </c>
      <c r="AH10" s="14"/>
      <c r="AI10" s="14" t="s">
        <v>13</v>
      </c>
      <c r="AJ10" s="14"/>
      <c r="AK10" s="15">
        <f t="shared" si="11"/>
        <v>37.5</v>
      </c>
      <c r="AL10" s="4">
        <f t="shared" si="0"/>
        <v>25</v>
      </c>
      <c r="AM10" s="5">
        <f t="shared" si="1"/>
        <v>0</v>
      </c>
      <c r="AN10" s="5">
        <f t="shared" si="2"/>
        <v>0</v>
      </c>
      <c r="AO10" s="5">
        <f t="shared" si="3"/>
        <v>0</v>
      </c>
      <c r="AP10" s="5">
        <f t="shared" si="4"/>
        <v>0</v>
      </c>
      <c r="AQ10" s="5">
        <f t="shared" si="5"/>
        <v>16.5</v>
      </c>
      <c r="AR10" s="5">
        <f t="shared" si="6"/>
        <v>21</v>
      </c>
      <c r="AS10" s="5">
        <f t="shared" si="7"/>
        <v>0</v>
      </c>
      <c r="AT10" s="5">
        <f t="shared" si="8"/>
        <v>0</v>
      </c>
      <c r="AU10" s="5">
        <f t="shared" si="9"/>
        <v>0</v>
      </c>
      <c r="AV10" s="5">
        <f t="shared" si="10"/>
        <v>0</v>
      </c>
      <c r="AW10" s="5">
        <f t="shared" si="12"/>
        <v>0</v>
      </c>
      <c r="AX10" s="5">
        <f t="shared" si="13"/>
        <v>0</v>
      </c>
    </row>
    <row r="11" spans="1:50" ht="15" customHeight="1" x14ac:dyDescent="0.35">
      <c r="A11" s="10">
        <v>9</v>
      </c>
      <c r="B11" s="18">
        <v>907402</v>
      </c>
      <c r="C11" s="19" t="s">
        <v>32</v>
      </c>
      <c r="D11" s="13" t="s">
        <v>21</v>
      </c>
      <c r="E11" s="13" t="s">
        <v>22</v>
      </c>
      <c r="F11" s="14"/>
      <c r="G11" s="14" t="s">
        <v>13</v>
      </c>
      <c r="H11" s="14" t="s">
        <v>13</v>
      </c>
      <c r="I11" s="14"/>
      <c r="J11" s="14" t="s">
        <v>10</v>
      </c>
      <c r="K11" s="14" t="s">
        <v>10</v>
      </c>
      <c r="L11" s="14" t="s">
        <v>13</v>
      </c>
      <c r="M11" s="14" t="s">
        <v>10</v>
      </c>
      <c r="N11" s="14" t="s">
        <v>16</v>
      </c>
      <c r="O11" s="14" t="s">
        <v>14</v>
      </c>
      <c r="P11" s="14"/>
      <c r="Q11" s="14" t="s">
        <v>14</v>
      </c>
      <c r="R11" s="14" t="s">
        <v>14</v>
      </c>
      <c r="S11" s="14" t="s">
        <v>14</v>
      </c>
      <c r="T11" s="14" t="s">
        <v>14</v>
      </c>
      <c r="U11" s="14" t="s">
        <v>14</v>
      </c>
      <c r="V11" s="14" t="s">
        <v>14</v>
      </c>
      <c r="W11" s="14"/>
      <c r="X11" s="14" t="s">
        <v>13</v>
      </c>
      <c r="Y11" s="14" t="s">
        <v>13</v>
      </c>
      <c r="Z11" s="14" t="s">
        <v>13</v>
      </c>
      <c r="AA11" s="14" t="s">
        <v>13</v>
      </c>
      <c r="AB11" s="14" t="s">
        <v>13</v>
      </c>
      <c r="AC11" s="14" t="s">
        <v>15</v>
      </c>
      <c r="AD11" s="14" t="s">
        <v>15</v>
      </c>
      <c r="AE11" s="14"/>
      <c r="AF11" s="14" t="s">
        <v>14</v>
      </c>
      <c r="AG11" s="14" t="s">
        <v>14</v>
      </c>
      <c r="AH11" s="14" t="s">
        <v>14</v>
      </c>
      <c r="AI11" s="14" t="s">
        <v>14</v>
      </c>
      <c r="AJ11" s="14"/>
      <c r="AK11" s="15">
        <f t="shared" si="11"/>
        <v>37.5</v>
      </c>
      <c r="AL11" s="4">
        <f t="shared" si="0"/>
        <v>25</v>
      </c>
      <c r="AM11" s="5">
        <f t="shared" si="1"/>
        <v>0</v>
      </c>
      <c r="AN11" s="5">
        <f t="shared" si="2"/>
        <v>3</v>
      </c>
      <c r="AO11" s="5">
        <f t="shared" si="3"/>
        <v>0</v>
      </c>
      <c r="AP11" s="5">
        <f t="shared" si="4"/>
        <v>0</v>
      </c>
      <c r="AQ11" s="5">
        <f t="shared" si="5"/>
        <v>12</v>
      </c>
      <c r="AR11" s="5">
        <f t="shared" si="6"/>
        <v>16.5</v>
      </c>
      <c r="AS11" s="5">
        <f t="shared" si="7"/>
        <v>4</v>
      </c>
      <c r="AT11" s="5">
        <f t="shared" si="8"/>
        <v>2</v>
      </c>
      <c r="AU11" s="5">
        <f t="shared" si="9"/>
        <v>0</v>
      </c>
      <c r="AV11" s="5">
        <f t="shared" si="10"/>
        <v>0</v>
      </c>
      <c r="AW11" s="5">
        <f t="shared" si="12"/>
        <v>0</v>
      </c>
      <c r="AX11" s="5">
        <f t="shared" si="13"/>
        <v>3</v>
      </c>
    </row>
    <row r="12" spans="1:50" ht="15" customHeight="1" x14ac:dyDescent="0.35">
      <c r="A12" s="10">
        <v>10</v>
      </c>
      <c r="B12" s="20">
        <v>907403</v>
      </c>
      <c r="C12" s="21" t="s">
        <v>33</v>
      </c>
      <c r="D12" s="13" t="s">
        <v>21</v>
      </c>
      <c r="E12" s="22" t="s">
        <v>22</v>
      </c>
      <c r="F12" s="14" t="s">
        <v>14</v>
      </c>
      <c r="G12" s="14" t="s">
        <v>14</v>
      </c>
      <c r="H12" s="14"/>
      <c r="I12" s="14" t="s">
        <v>13</v>
      </c>
      <c r="J12" s="14" t="s">
        <v>13</v>
      </c>
      <c r="K12" s="14" t="s">
        <v>13</v>
      </c>
      <c r="L12" s="14" t="s">
        <v>13</v>
      </c>
      <c r="M12" s="14" t="s">
        <v>13</v>
      </c>
      <c r="N12" s="14" t="s">
        <v>9</v>
      </c>
      <c r="O12" s="14"/>
      <c r="P12" s="14" t="s">
        <v>14</v>
      </c>
      <c r="Q12" s="14" t="s">
        <v>14</v>
      </c>
      <c r="R12" s="14" t="s">
        <v>14</v>
      </c>
      <c r="S12" s="14" t="s">
        <v>14</v>
      </c>
      <c r="T12" s="14"/>
      <c r="U12" s="14"/>
      <c r="V12" s="14"/>
      <c r="W12" s="14"/>
      <c r="X12" s="14"/>
      <c r="Y12" s="14" t="s">
        <v>10</v>
      </c>
      <c r="Z12" s="14" t="s">
        <v>10</v>
      </c>
      <c r="AA12" s="14" t="s">
        <v>10</v>
      </c>
      <c r="AB12" s="14" t="s">
        <v>10</v>
      </c>
      <c r="AC12" s="14" t="s">
        <v>10</v>
      </c>
      <c r="AD12" s="14" t="s">
        <v>10</v>
      </c>
      <c r="AE12" s="14"/>
      <c r="AF12" s="14" t="s">
        <v>13</v>
      </c>
      <c r="AG12" s="14" t="s">
        <v>13</v>
      </c>
      <c r="AH12" s="14" t="s">
        <v>13</v>
      </c>
      <c r="AI12" s="14" t="s">
        <v>13</v>
      </c>
      <c r="AJ12" s="14"/>
      <c r="AK12" s="15">
        <f t="shared" si="11"/>
        <v>29.5</v>
      </c>
      <c r="AL12" s="4">
        <f t="shared" si="0"/>
        <v>22</v>
      </c>
      <c r="AM12" s="5">
        <f t="shared" si="1"/>
        <v>1</v>
      </c>
      <c r="AN12" s="5">
        <f t="shared" si="2"/>
        <v>6</v>
      </c>
      <c r="AO12" s="5">
        <f t="shared" si="3"/>
        <v>0</v>
      </c>
      <c r="AP12" s="5">
        <f t="shared" si="4"/>
        <v>0</v>
      </c>
      <c r="AQ12" s="5">
        <f t="shared" si="5"/>
        <v>13.5</v>
      </c>
      <c r="AR12" s="5">
        <f t="shared" si="6"/>
        <v>9</v>
      </c>
      <c r="AS12" s="5">
        <f t="shared" si="7"/>
        <v>0</v>
      </c>
      <c r="AT12" s="5">
        <f t="shared" si="8"/>
        <v>0</v>
      </c>
      <c r="AU12" s="5">
        <f t="shared" si="9"/>
        <v>0</v>
      </c>
      <c r="AV12" s="5">
        <f t="shared" si="10"/>
        <v>0</v>
      </c>
      <c r="AW12" s="5">
        <f t="shared" si="12"/>
        <v>0</v>
      </c>
      <c r="AX12" s="5">
        <f t="shared" si="13"/>
        <v>7</v>
      </c>
    </row>
    <row r="13" spans="1:50" ht="15" customHeight="1" x14ac:dyDescent="0.35">
      <c r="A13" s="10">
        <v>11</v>
      </c>
      <c r="B13" s="20">
        <v>907404</v>
      </c>
      <c r="C13" s="21" t="s">
        <v>34</v>
      </c>
      <c r="D13" s="13" t="s">
        <v>21</v>
      </c>
      <c r="E13" s="22" t="s">
        <v>22</v>
      </c>
      <c r="F13" s="14" t="s">
        <v>14</v>
      </c>
      <c r="G13" s="14"/>
      <c r="H13" s="14" t="s">
        <v>13</v>
      </c>
      <c r="I13" s="14" t="s">
        <v>13</v>
      </c>
      <c r="J13" s="14" t="s">
        <v>13</v>
      </c>
      <c r="K13" s="14" t="s">
        <v>13</v>
      </c>
      <c r="L13" s="14" t="s">
        <v>13</v>
      </c>
      <c r="M13" s="14" t="s">
        <v>13</v>
      </c>
      <c r="N13" s="14"/>
      <c r="O13" s="14" t="s">
        <v>14</v>
      </c>
      <c r="P13" s="14" t="s">
        <v>14</v>
      </c>
      <c r="Q13" s="14" t="s">
        <v>14</v>
      </c>
      <c r="R13" s="14" t="s">
        <v>14</v>
      </c>
      <c r="S13" s="14" t="s">
        <v>14</v>
      </c>
      <c r="T13" s="14" t="s">
        <v>14</v>
      </c>
      <c r="U13" s="14"/>
      <c r="V13" s="14" t="s">
        <v>13</v>
      </c>
      <c r="W13" s="14" t="s">
        <v>13</v>
      </c>
      <c r="X13" s="14" t="s">
        <v>15</v>
      </c>
      <c r="Y13" s="14" t="s">
        <v>13</v>
      </c>
      <c r="Z13" s="14" t="s">
        <v>13</v>
      </c>
      <c r="AA13" s="14" t="s">
        <v>13</v>
      </c>
      <c r="AB13" s="14"/>
      <c r="AC13" s="14" t="s">
        <v>14</v>
      </c>
      <c r="AD13" s="14" t="s">
        <v>14</v>
      </c>
      <c r="AE13" s="14" t="s">
        <v>14</v>
      </c>
      <c r="AF13" s="14" t="s">
        <v>14</v>
      </c>
      <c r="AG13" s="14" t="s">
        <v>14</v>
      </c>
      <c r="AH13" s="14" t="s">
        <v>14</v>
      </c>
      <c r="AI13" s="14" t="s">
        <v>14</v>
      </c>
      <c r="AJ13" s="14"/>
      <c r="AK13" s="15">
        <f t="shared" si="11"/>
        <v>39.5</v>
      </c>
      <c r="AL13" s="4">
        <f t="shared" si="0"/>
        <v>26</v>
      </c>
      <c r="AM13" s="5">
        <f t="shared" si="1"/>
        <v>0</v>
      </c>
      <c r="AN13" s="5">
        <f t="shared" si="2"/>
        <v>0</v>
      </c>
      <c r="AO13" s="5">
        <f t="shared" si="3"/>
        <v>0</v>
      </c>
      <c r="AP13" s="5">
        <f t="shared" si="4"/>
        <v>0</v>
      </c>
      <c r="AQ13" s="5">
        <f t="shared" si="5"/>
        <v>16.5</v>
      </c>
      <c r="AR13" s="5">
        <f t="shared" si="6"/>
        <v>21</v>
      </c>
      <c r="AS13" s="5">
        <f t="shared" si="7"/>
        <v>2</v>
      </c>
      <c r="AT13" s="5">
        <f t="shared" si="8"/>
        <v>0</v>
      </c>
      <c r="AU13" s="5">
        <f t="shared" si="9"/>
        <v>0</v>
      </c>
      <c r="AV13" s="5">
        <f t="shared" si="10"/>
        <v>0</v>
      </c>
      <c r="AW13" s="5">
        <f t="shared" si="12"/>
        <v>0</v>
      </c>
      <c r="AX13" s="5">
        <f t="shared" si="13"/>
        <v>0</v>
      </c>
    </row>
    <row r="14" spans="1:50" ht="15" customHeight="1" x14ac:dyDescent="0.35">
      <c r="A14" s="10">
        <v>12</v>
      </c>
      <c r="B14" s="23">
        <v>907405</v>
      </c>
      <c r="C14" s="12" t="s">
        <v>35</v>
      </c>
      <c r="D14" s="13" t="s">
        <v>21</v>
      </c>
      <c r="E14" s="22" t="s">
        <v>22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 t="s">
        <v>14</v>
      </c>
      <c r="Y14" s="14" t="s">
        <v>14</v>
      </c>
      <c r="Z14" s="14" t="s">
        <v>14</v>
      </c>
      <c r="AA14" s="14" t="s">
        <v>14</v>
      </c>
      <c r="AB14" s="14" t="s">
        <v>14</v>
      </c>
      <c r="AC14" s="14" t="s">
        <v>14</v>
      </c>
      <c r="AD14" s="14" t="s">
        <v>14</v>
      </c>
      <c r="AE14" s="14"/>
      <c r="AF14" s="14" t="s">
        <v>15</v>
      </c>
      <c r="AG14" s="14" t="s">
        <v>15</v>
      </c>
      <c r="AH14" s="14" t="s">
        <v>13</v>
      </c>
      <c r="AI14" s="14" t="s">
        <v>15</v>
      </c>
      <c r="AJ14" s="14"/>
      <c r="AK14" s="15">
        <f t="shared" si="11"/>
        <v>18</v>
      </c>
      <c r="AL14" s="4">
        <f t="shared" si="0"/>
        <v>11</v>
      </c>
      <c r="AM14" s="5">
        <f t="shared" si="1"/>
        <v>0</v>
      </c>
      <c r="AN14" s="5">
        <f t="shared" si="2"/>
        <v>0</v>
      </c>
      <c r="AO14" s="5">
        <f t="shared" si="3"/>
        <v>0</v>
      </c>
      <c r="AP14" s="5">
        <f t="shared" si="4"/>
        <v>0</v>
      </c>
      <c r="AQ14" s="5">
        <f t="shared" si="5"/>
        <v>1.5</v>
      </c>
      <c r="AR14" s="5">
        <f t="shared" si="6"/>
        <v>10.5</v>
      </c>
      <c r="AS14" s="5">
        <f t="shared" si="7"/>
        <v>6</v>
      </c>
      <c r="AT14" s="5">
        <f t="shared" si="8"/>
        <v>0</v>
      </c>
      <c r="AU14" s="5">
        <f t="shared" si="9"/>
        <v>0</v>
      </c>
      <c r="AV14" s="5">
        <f t="shared" si="10"/>
        <v>0</v>
      </c>
      <c r="AW14" s="5">
        <f t="shared" si="12"/>
        <v>0</v>
      </c>
      <c r="AX14" s="5">
        <f t="shared" si="13"/>
        <v>0</v>
      </c>
    </row>
    <row r="15" spans="1:50" ht="15" customHeight="1" x14ac:dyDescent="0.35">
      <c r="A15" s="10">
        <v>13</v>
      </c>
      <c r="B15" s="20">
        <v>907407</v>
      </c>
      <c r="C15" s="21" t="s">
        <v>36</v>
      </c>
      <c r="D15" s="13" t="s">
        <v>21</v>
      </c>
      <c r="E15" s="22" t="s">
        <v>22</v>
      </c>
      <c r="F15" s="14" t="s">
        <v>13</v>
      </c>
      <c r="G15" s="14" t="s">
        <v>13</v>
      </c>
      <c r="H15" s="14" t="s">
        <v>13</v>
      </c>
      <c r="I15" s="14" t="s">
        <v>13</v>
      </c>
      <c r="J15" s="14" t="s">
        <v>13</v>
      </c>
      <c r="K15" s="14"/>
      <c r="L15" s="14" t="s">
        <v>14</v>
      </c>
      <c r="M15" s="14" t="s">
        <v>14</v>
      </c>
      <c r="N15" s="14" t="s">
        <v>14</v>
      </c>
      <c r="O15" s="14" t="s">
        <v>14</v>
      </c>
      <c r="P15" s="14" t="s">
        <v>14</v>
      </c>
      <c r="Q15" s="14" t="s">
        <v>14</v>
      </c>
      <c r="R15" s="14"/>
      <c r="S15" s="14" t="s">
        <v>13</v>
      </c>
      <c r="T15" s="14" t="s">
        <v>13</v>
      </c>
      <c r="U15" s="14" t="s">
        <v>13</v>
      </c>
      <c r="V15" s="14" t="s">
        <v>13</v>
      </c>
      <c r="W15" s="14" t="s">
        <v>9</v>
      </c>
      <c r="X15" s="14" t="s">
        <v>13</v>
      </c>
      <c r="Y15" s="14"/>
      <c r="Z15" s="14" t="s">
        <v>14</v>
      </c>
      <c r="AA15" s="14" t="s">
        <v>14</v>
      </c>
      <c r="AB15" s="14" t="s">
        <v>14</v>
      </c>
      <c r="AC15" s="14" t="s">
        <v>14</v>
      </c>
      <c r="AD15" s="14" t="s">
        <v>14</v>
      </c>
      <c r="AE15" s="14" t="s">
        <v>14</v>
      </c>
      <c r="AF15" s="14" t="s">
        <v>14</v>
      </c>
      <c r="AG15" s="14"/>
      <c r="AH15" s="14" t="s">
        <v>15</v>
      </c>
      <c r="AI15" s="14" t="s">
        <v>13</v>
      </c>
      <c r="AJ15" s="14"/>
      <c r="AK15" s="15">
        <f t="shared" si="11"/>
        <v>39</v>
      </c>
      <c r="AL15" s="4">
        <f t="shared" si="0"/>
        <v>26</v>
      </c>
      <c r="AM15" s="5">
        <f t="shared" si="1"/>
        <v>1</v>
      </c>
      <c r="AN15" s="5">
        <f t="shared" si="2"/>
        <v>0</v>
      </c>
      <c r="AO15" s="5">
        <f t="shared" si="3"/>
        <v>0</v>
      </c>
      <c r="AP15" s="5">
        <f t="shared" si="4"/>
        <v>0</v>
      </c>
      <c r="AQ15" s="5">
        <f t="shared" si="5"/>
        <v>16.5</v>
      </c>
      <c r="AR15" s="5">
        <f t="shared" si="6"/>
        <v>19.5</v>
      </c>
      <c r="AS15" s="5">
        <f t="shared" si="7"/>
        <v>2</v>
      </c>
      <c r="AT15" s="5">
        <f t="shared" si="8"/>
        <v>0</v>
      </c>
      <c r="AU15" s="5">
        <f t="shared" si="9"/>
        <v>0</v>
      </c>
      <c r="AV15" s="5">
        <f t="shared" si="10"/>
        <v>0</v>
      </c>
      <c r="AW15" s="5">
        <f t="shared" si="12"/>
        <v>0</v>
      </c>
      <c r="AX15" s="5">
        <f t="shared" si="13"/>
        <v>1</v>
      </c>
    </row>
    <row r="16" spans="1:50" ht="15" customHeight="1" x14ac:dyDescent="0.35">
      <c r="A16" s="10">
        <v>14</v>
      </c>
      <c r="B16" s="20">
        <v>907408</v>
      </c>
      <c r="C16" s="21" t="s">
        <v>37</v>
      </c>
      <c r="D16" s="13" t="s">
        <v>21</v>
      </c>
      <c r="E16" s="22" t="s">
        <v>22</v>
      </c>
      <c r="F16" s="14" t="s">
        <v>14</v>
      </c>
      <c r="G16" s="14" t="s">
        <v>14</v>
      </c>
      <c r="H16" s="14" t="s">
        <v>14</v>
      </c>
      <c r="I16" s="14" t="s">
        <v>14</v>
      </c>
      <c r="J16" s="14"/>
      <c r="K16" s="14" t="s">
        <v>13</v>
      </c>
      <c r="L16" s="14" t="s">
        <v>13</v>
      </c>
      <c r="M16" s="14" t="s">
        <v>13</v>
      </c>
      <c r="N16" s="14" t="s">
        <v>13</v>
      </c>
      <c r="O16" s="14" t="s">
        <v>13</v>
      </c>
      <c r="P16" s="14" t="s">
        <v>13</v>
      </c>
      <c r="Q16" s="14"/>
      <c r="R16" s="14" t="s">
        <v>13</v>
      </c>
      <c r="S16" s="14" t="s">
        <v>13</v>
      </c>
      <c r="T16" s="14" t="s">
        <v>13</v>
      </c>
      <c r="U16" s="14" t="s">
        <v>13</v>
      </c>
      <c r="V16" s="14" t="s">
        <v>13</v>
      </c>
      <c r="W16" s="14" t="s">
        <v>13</v>
      </c>
      <c r="X16" s="14"/>
      <c r="Y16" s="14" t="s">
        <v>14</v>
      </c>
      <c r="Z16" s="14"/>
      <c r="AA16" s="14" t="s">
        <v>10</v>
      </c>
      <c r="AB16" s="14" t="s">
        <v>10</v>
      </c>
      <c r="AC16" s="14" t="s">
        <v>16</v>
      </c>
      <c r="AD16" s="14" t="s">
        <v>14</v>
      </c>
      <c r="AE16" s="14" t="s">
        <v>14</v>
      </c>
      <c r="AF16" s="14" t="s">
        <v>14</v>
      </c>
      <c r="AG16" s="14"/>
      <c r="AH16" s="14" t="s">
        <v>15</v>
      </c>
      <c r="AI16" s="14" t="s">
        <v>15</v>
      </c>
      <c r="AJ16" s="14"/>
      <c r="AK16" s="15">
        <f t="shared" si="11"/>
        <v>38</v>
      </c>
      <c r="AL16" s="4">
        <f t="shared" si="0"/>
        <v>25</v>
      </c>
      <c r="AM16" s="5">
        <f t="shared" si="1"/>
        <v>0</v>
      </c>
      <c r="AN16" s="5">
        <f t="shared" si="2"/>
        <v>2</v>
      </c>
      <c r="AO16" s="5">
        <f t="shared" si="3"/>
        <v>0</v>
      </c>
      <c r="AP16" s="5">
        <f t="shared" si="4"/>
        <v>0</v>
      </c>
      <c r="AQ16" s="5">
        <f t="shared" si="5"/>
        <v>18</v>
      </c>
      <c r="AR16" s="5">
        <f t="shared" si="6"/>
        <v>12</v>
      </c>
      <c r="AS16" s="5">
        <f t="shared" si="7"/>
        <v>4</v>
      </c>
      <c r="AT16" s="5">
        <f t="shared" si="8"/>
        <v>2</v>
      </c>
      <c r="AU16" s="5">
        <f t="shared" si="9"/>
        <v>0</v>
      </c>
      <c r="AV16" s="5">
        <f t="shared" si="10"/>
        <v>0</v>
      </c>
      <c r="AW16" s="5">
        <f t="shared" si="12"/>
        <v>0</v>
      </c>
      <c r="AX16" s="5">
        <f t="shared" si="13"/>
        <v>2</v>
      </c>
    </row>
    <row r="17" spans="1:50" ht="15" customHeight="1" x14ac:dyDescent="0.35">
      <c r="A17" s="10">
        <v>15</v>
      </c>
      <c r="B17" s="20">
        <v>907409</v>
      </c>
      <c r="C17" s="21" t="s">
        <v>38</v>
      </c>
      <c r="D17" s="13" t="s">
        <v>21</v>
      </c>
      <c r="E17" s="22" t="s">
        <v>22</v>
      </c>
      <c r="F17" s="14" t="s">
        <v>14</v>
      </c>
      <c r="G17" s="14" t="s">
        <v>14</v>
      </c>
      <c r="H17" s="14"/>
      <c r="I17" s="14" t="s">
        <v>13</v>
      </c>
      <c r="J17" s="14" t="s">
        <v>13</v>
      </c>
      <c r="K17" s="14" t="s">
        <v>13</v>
      </c>
      <c r="L17" s="14" t="s">
        <v>13</v>
      </c>
      <c r="M17" s="14" t="s">
        <v>14</v>
      </c>
      <c r="N17" s="14" t="s">
        <v>14</v>
      </c>
      <c r="O17" s="14"/>
      <c r="P17" s="14" t="s">
        <v>13</v>
      </c>
      <c r="Q17" s="14" t="s">
        <v>13</v>
      </c>
      <c r="R17" s="14" t="s">
        <v>15</v>
      </c>
      <c r="S17" s="14" t="s">
        <v>13</v>
      </c>
      <c r="T17" s="14" t="s">
        <v>13</v>
      </c>
      <c r="U17" s="14" t="s">
        <v>13</v>
      </c>
      <c r="V17" s="14"/>
      <c r="W17" s="14" t="s">
        <v>14</v>
      </c>
      <c r="X17" s="14" t="s">
        <v>14</v>
      </c>
      <c r="Y17" s="14" t="s">
        <v>14</v>
      </c>
      <c r="Z17" s="14" t="s">
        <v>14</v>
      </c>
      <c r="AA17" s="14" t="s">
        <v>14</v>
      </c>
      <c r="AB17" s="14" t="s">
        <v>14</v>
      </c>
      <c r="AC17" s="14"/>
      <c r="AD17" s="14" t="s">
        <v>15</v>
      </c>
      <c r="AE17" s="14" t="s">
        <v>13</v>
      </c>
      <c r="AF17" s="14" t="s">
        <v>15</v>
      </c>
      <c r="AG17" s="14" t="s">
        <v>13</v>
      </c>
      <c r="AH17" s="14" t="s">
        <v>15</v>
      </c>
      <c r="AI17" s="14" t="s">
        <v>13</v>
      </c>
      <c r="AJ17" s="14"/>
      <c r="AK17" s="15">
        <f t="shared" si="11"/>
        <v>41</v>
      </c>
      <c r="AL17" s="4">
        <f t="shared" si="0"/>
        <v>26</v>
      </c>
      <c r="AM17" s="5">
        <f t="shared" si="1"/>
        <v>0</v>
      </c>
      <c r="AN17" s="5">
        <f t="shared" si="2"/>
        <v>0</v>
      </c>
      <c r="AO17" s="5">
        <f t="shared" si="3"/>
        <v>0</v>
      </c>
      <c r="AP17" s="5">
        <f t="shared" si="4"/>
        <v>0</v>
      </c>
      <c r="AQ17" s="5">
        <f t="shared" si="5"/>
        <v>18</v>
      </c>
      <c r="AR17" s="5">
        <f t="shared" si="6"/>
        <v>15</v>
      </c>
      <c r="AS17" s="5">
        <f t="shared" si="7"/>
        <v>8</v>
      </c>
      <c r="AT17" s="5">
        <f t="shared" si="8"/>
        <v>0</v>
      </c>
      <c r="AU17" s="5">
        <f t="shared" si="9"/>
        <v>0</v>
      </c>
      <c r="AV17" s="5">
        <f t="shared" si="10"/>
        <v>0</v>
      </c>
      <c r="AW17" s="5">
        <f t="shared" si="12"/>
        <v>0</v>
      </c>
      <c r="AX17" s="5">
        <f t="shared" si="13"/>
        <v>0</v>
      </c>
    </row>
    <row r="18" spans="1:50" ht="15" customHeight="1" x14ac:dyDescent="0.35">
      <c r="A18" s="10">
        <v>16</v>
      </c>
      <c r="B18" s="20">
        <v>907410</v>
      </c>
      <c r="C18" s="21" t="s">
        <v>39</v>
      </c>
      <c r="D18" s="13" t="s">
        <v>21</v>
      </c>
      <c r="E18" s="22" t="s">
        <v>22</v>
      </c>
      <c r="F18" s="14"/>
      <c r="G18" s="14" t="s">
        <v>13</v>
      </c>
      <c r="H18" s="14" t="s">
        <v>13</v>
      </c>
      <c r="I18" s="14" t="s">
        <v>13</v>
      </c>
      <c r="J18" s="14" t="s">
        <v>13</v>
      </c>
      <c r="K18" s="14" t="s">
        <v>13</v>
      </c>
      <c r="L18" s="14" t="s">
        <v>13</v>
      </c>
      <c r="M18" s="14"/>
      <c r="N18" s="14" t="s">
        <v>14</v>
      </c>
      <c r="O18" s="14" t="s">
        <v>14</v>
      </c>
      <c r="P18" s="14" t="s">
        <v>14</v>
      </c>
      <c r="Q18" s="14" t="s">
        <v>14</v>
      </c>
      <c r="R18" s="14" t="s">
        <v>14</v>
      </c>
      <c r="S18" s="14" t="s">
        <v>14</v>
      </c>
      <c r="T18" s="14"/>
      <c r="U18" s="14" t="s">
        <v>13</v>
      </c>
      <c r="V18" s="14" t="s">
        <v>13</v>
      </c>
      <c r="W18" s="14" t="s">
        <v>13</v>
      </c>
      <c r="X18" s="14" t="s">
        <v>13</v>
      </c>
      <c r="Y18" s="14" t="s">
        <v>13</v>
      </c>
      <c r="Z18" s="14" t="s">
        <v>13</v>
      </c>
      <c r="AA18" s="14"/>
      <c r="AB18" s="14" t="s">
        <v>14</v>
      </c>
      <c r="AC18" s="14" t="s">
        <v>14</v>
      </c>
      <c r="AD18" s="14" t="s">
        <v>14</v>
      </c>
      <c r="AE18" s="14" t="s">
        <v>14</v>
      </c>
      <c r="AF18" s="14" t="s">
        <v>14</v>
      </c>
      <c r="AG18" s="14" t="s">
        <v>14</v>
      </c>
      <c r="AH18" s="14"/>
      <c r="AI18" s="14" t="s">
        <v>13</v>
      </c>
      <c r="AJ18" s="14"/>
      <c r="AK18" s="15">
        <f t="shared" si="11"/>
        <v>37.5</v>
      </c>
      <c r="AL18" s="4">
        <f t="shared" si="0"/>
        <v>25</v>
      </c>
      <c r="AM18" s="5">
        <f t="shared" si="1"/>
        <v>0</v>
      </c>
      <c r="AN18" s="5">
        <f t="shared" si="2"/>
        <v>0</v>
      </c>
      <c r="AO18" s="5">
        <f t="shared" si="3"/>
        <v>0</v>
      </c>
      <c r="AP18" s="5">
        <f t="shared" si="4"/>
        <v>0</v>
      </c>
      <c r="AQ18" s="5">
        <f t="shared" si="5"/>
        <v>19.5</v>
      </c>
      <c r="AR18" s="5">
        <f t="shared" si="6"/>
        <v>18</v>
      </c>
      <c r="AS18" s="5">
        <f t="shared" si="7"/>
        <v>0</v>
      </c>
      <c r="AT18" s="5">
        <f t="shared" si="8"/>
        <v>0</v>
      </c>
      <c r="AU18" s="5">
        <f t="shared" si="9"/>
        <v>0</v>
      </c>
      <c r="AV18" s="5">
        <f t="shared" si="10"/>
        <v>0</v>
      </c>
      <c r="AW18" s="5">
        <f t="shared" si="12"/>
        <v>0</v>
      </c>
      <c r="AX18" s="5">
        <f t="shared" si="13"/>
        <v>0</v>
      </c>
    </row>
    <row r="19" spans="1:50" ht="15" customHeight="1" x14ac:dyDescent="0.35">
      <c r="A19" s="10">
        <v>17</v>
      </c>
      <c r="B19" s="20">
        <v>907411</v>
      </c>
      <c r="C19" s="21" t="s">
        <v>40</v>
      </c>
      <c r="D19" s="13" t="s">
        <v>21</v>
      </c>
      <c r="E19" s="22" t="s">
        <v>22</v>
      </c>
      <c r="F19" s="14" t="s">
        <v>14</v>
      </c>
      <c r="G19" s="14" t="s">
        <v>14</v>
      </c>
      <c r="H19" s="14" t="s">
        <v>14</v>
      </c>
      <c r="I19" s="14" t="s">
        <v>14</v>
      </c>
      <c r="J19" s="14"/>
      <c r="K19" s="14" t="s">
        <v>13</v>
      </c>
      <c r="L19" s="14" t="s">
        <v>13</v>
      </c>
      <c r="M19" s="14" t="s">
        <v>13</v>
      </c>
      <c r="N19" s="14" t="s">
        <v>13</v>
      </c>
      <c r="O19" s="14" t="s">
        <v>13</v>
      </c>
      <c r="P19" s="17"/>
      <c r="Q19" s="14" t="s">
        <v>14</v>
      </c>
      <c r="R19" s="14" t="s">
        <v>14</v>
      </c>
      <c r="S19" s="14" t="s">
        <v>14</v>
      </c>
      <c r="T19" s="14" t="s">
        <v>14</v>
      </c>
      <c r="U19" s="14" t="s">
        <v>14</v>
      </c>
      <c r="V19" s="14" t="s">
        <v>14</v>
      </c>
      <c r="W19" s="14"/>
      <c r="X19" s="14" t="s">
        <v>15</v>
      </c>
      <c r="Y19" s="14" t="s">
        <v>13</v>
      </c>
      <c r="Z19" s="14" t="s">
        <v>13</v>
      </c>
      <c r="AA19" s="14" t="s">
        <v>13</v>
      </c>
      <c r="AB19" s="14" t="s">
        <v>13</v>
      </c>
      <c r="AC19" s="14" t="s">
        <v>13</v>
      </c>
      <c r="AD19" s="14"/>
      <c r="AE19" s="14" t="s">
        <v>13</v>
      </c>
      <c r="AF19" s="14" t="s">
        <v>15</v>
      </c>
      <c r="AG19" s="14" t="s">
        <v>13</v>
      </c>
      <c r="AH19" s="14" t="s">
        <v>15</v>
      </c>
      <c r="AI19" s="14" t="s">
        <v>13</v>
      </c>
      <c r="AJ19" s="14"/>
      <c r="AK19" s="15">
        <f t="shared" si="11"/>
        <v>40.5</v>
      </c>
      <c r="AL19" s="4">
        <f t="shared" si="0"/>
        <v>26</v>
      </c>
      <c r="AM19" s="5">
        <f t="shared" si="1"/>
        <v>0</v>
      </c>
      <c r="AN19" s="5">
        <f t="shared" si="2"/>
        <v>0</v>
      </c>
      <c r="AO19" s="5">
        <f t="shared" si="3"/>
        <v>0</v>
      </c>
      <c r="AP19" s="5">
        <f t="shared" si="4"/>
        <v>0</v>
      </c>
      <c r="AQ19" s="5">
        <f t="shared" si="5"/>
        <v>19.5</v>
      </c>
      <c r="AR19" s="5">
        <f t="shared" si="6"/>
        <v>15</v>
      </c>
      <c r="AS19" s="5">
        <f t="shared" si="7"/>
        <v>6</v>
      </c>
      <c r="AT19" s="5">
        <f t="shared" si="8"/>
        <v>0</v>
      </c>
      <c r="AU19" s="5">
        <f t="shared" si="9"/>
        <v>0</v>
      </c>
      <c r="AV19" s="5">
        <f t="shared" si="10"/>
        <v>0</v>
      </c>
      <c r="AW19" s="5">
        <f t="shared" si="12"/>
        <v>0</v>
      </c>
      <c r="AX19" s="5">
        <f t="shared" si="13"/>
        <v>0</v>
      </c>
    </row>
    <row r="20" spans="1:50" ht="15" customHeight="1" x14ac:dyDescent="0.35">
      <c r="A20" s="10">
        <v>18</v>
      </c>
      <c r="B20" s="20">
        <v>907413</v>
      </c>
      <c r="C20" s="24" t="s">
        <v>41</v>
      </c>
      <c r="D20" s="13" t="s">
        <v>21</v>
      </c>
      <c r="E20" s="22" t="s">
        <v>22</v>
      </c>
      <c r="F20" s="14" t="s">
        <v>13</v>
      </c>
      <c r="G20" s="14" t="s">
        <v>13</v>
      </c>
      <c r="H20" s="14" t="s">
        <v>13</v>
      </c>
      <c r="I20" s="14" t="s">
        <v>13</v>
      </c>
      <c r="J20" s="14" t="s">
        <v>13</v>
      </c>
      <c r="K20" s="14"/>
      <c r="L20" s="14" t="s">
        <v>14</v>
      </c>
      <c r="M20" s="14" t="s">
        <v>14</v>
      </c>
      <c r="N20" s="14" t="s">
        <v>14</v>
      </c>
      <c r="O20" s="14" t="s">
        <v>14</v>
      </c>
      <c r="P20" s="14" t="s">
        <v>14</v>
      </c>
      <c r="Q20" s="14" t="s">
        <v>14</v>
      </c>
      <c r="R20" s="14"/>
      <c r="S20" s="14" t="s">
        <v>15</v>
      </c>
      <c r="T20" s="14" t="s">
        <v>13</v>
      </c>
      <c r="U20" s="14" t="s">
        <v>13</v>
      </c>
      <c r="V20" s="14" t="s">
        <v>13</v>
      </c>
      <c r="W20" s="14" t="s">
        <v>15</v>
      </c>
      <c r="X20" s="14" t="s">
        <v>13</v>
      </c>
      <c r="Y20" s="14"/>
      <c r="Z20" s="14" t="s">
        <v>15</v>
      </c>
      <c r="AA20" s="14" t="s">
        <v>13</v>
      </c>
      <c r="AB20" s="14" t="s">
        <v>13</v>
      </c>
      <c r="AC20" s="14" t="s">
        <v>15</v>
      </c>
      <c r="AD20" s="14" t="s">
        <v>13</v>
      </c>
      <c r="AE20" s="14" t="s">
        <v>15</v>
      </c>
      <c r="AF20" s="14" t="s">
        <v>13</v>
      </c>
      <c r="AG20" s="14" t="s">
        <v>13</v>
      </c>
      <c r="AH20" s="14"/>
      <c r="AI20" s="14" t="s">
        <v>16</v>
      </c>
      <c r="AJ20" s="14"/>
      <c r="AK20" s="15">
        <f t="shared" si="11"/>
        <v>42</v>
      </c>
      <c r="AL20" s="4">
        <f t="shared" si="0"/>
        <v>26</v>
      </c>
      <c r="AM20" s="5">
        <f t="shared" si="1"/>
        <v>0</v>
      </c>
      <c r="AN20" s="5">
        <f t="shared" si="2"/>
        <v>0</v>
      </c>
      <c r="AO20" s="5">
        <f t="shared" si="3"/>
        <v>0</v>
      </c>
      <c r="AP20" s="5">
        <f t="shared" si="4"/>
        <v>0</v>
      </c>
      <c r="AQ20" s="5">
        <f t="shared" si="5"/>
        <v>21</v>
      </c>
      <c r="AR20" s="5">
        <f t="shared" si="6"/>
        <v>9</v>
      </c>
      <c r="AS20" s="5">
        <f t="shared" si="7"/>
        <v>10</v>
      </c>
      <c r="AT20" s="5">
        <f t="shared" si="8"/>
        <v>2</v>
      </c>
      <c r="AU20" s="5">
        <f t="shared" si="9"/>
        <v>0</v>
      </c>
      <c r="AV20" s="5">
        <f t="shared" si="10"/>
        <v>0</v>
      </c>
      <c r="AW20" s="5">
        <f t="shared" si="12"/>
        <v>0</v>
      </c>
      <c r="AX20" s="5">
        <f t="shared" si="13"/>
        <v>0</v>
      </c>
    </row>
    <row r="21" spans="1:50" ht="15" customHeight="1" x14ac:dyDescent="0.35">
      <c r="A21" s="10">
        <v>19</v>
      </c>
      <c r="B21" s="20">
        <v>907414</v>
      </c>
      <c r="C21" s="21" t="s">
        <v>42</v>
      </c>
      <c r="D21" s="13" t="s">
        <v>21</v>
      </c>
      <c r="E21" s="13" t="s">
        <v>22</v>
      </c>
      <c r="F21" s="14" t="s">
        <v>13</v>
      </c>
      <c r="G21" s="14" t="s">
        <v>13</v>
      </c>
      <c r="H21" s="14" t="s">
        <v>9</v>
      </c>
      <c r="I21" s="14"/>
      <c r="J21" s="14" t="s">
        <v>14</v>
      </c>
      <c r="K21" s="14" t="s">
        <v>14</v>
      </c>
      <c r="L21" s="14" t="s">
        <v>14</v>
      </c>
      <c r="M21" s="14" t="s">
        <v>14</v>
      </c>
      <c r="N21" s="14" t="s">
        <v>14</v>
      </c>
      <c r="O21" s="14" t="s">
        <v>14</v>
      </c>
      <c r="P21" s="14"/>
      <c r="Q21" s="14" t="s">
        <v>13</v>
      </c>
      <c r="R21" s="14" t="s">
        <v>15</v>
      </c>
      <c r="S21" s="14" t="s">
        <v>13</v>
      </c>
      <c r="T21" s="14" t="s">
        <v>13</v>
      </c>
      <c r="U21" s="14" t="s">
        <v>13</v>
      </c>
      <c r="V21" s="14" t="s">
        <v>13</v>
      </c>
      <c r="W21" s="14"/>
      <c r="X21" s="14" t="s">
        <v>14</v>
      </c>
      <c r="Y21" s="14" t="s">
        <v>14</v>
      </c>
      <c r="Z21" s="14" t="s">
        <v>14</v>
      </c>
      <c r="AA21" s="14" t="s">
        <v>14</v>
      </c>
      <c r="AB21" s="14" t="s">
        <v>14</v>
      </c>
      <c r="AC21" s="14" t="s">
        <v>14</v>
      </c>
      <c r="AD21" s="14"/>
      <c r="AE21" s="14" t="s">
        <v>13</v>
      </c>
      <c r="AF21" s="14" t="s">
        <v>13</v>
      </c>
      <c r="AG21" s="14" t="s">
        <v>13</v>
      </c>
      <c r="AH21" s="14" t="s">
        <v>13</v>
      </c>
      <c r="AI21" s="14" t="s">
        <v>13</v>
      </c>
      <c r="AJ21" s="14"/>
      <c r="AK21" s="15">
        <f t="shared" si="11"/>
        <v>39</v>
      </c>
      <c r="AL21" s="4">
        <f t="shared" si="0"/>
        <v>26</v>
      </c>
      <c r="AM21" s="5">
        <f t="shared" si="1"/>
        <v>1</v>
      </c>
      <c r="AN21" s="5">
        <f t="shared" si="2"/>
        <v>0</v>
      </c>
      <c r="AO21" s="5">
        <f t="shared" si="3"/>
        <v>0</v>
      </c>
      <c r="AP21" s="5">
        <f t="shared" si="4"/>
        <v>0</v>
      </c>
      <c r="AQ21" s="5">
        <f t="shared" si="5"/>
        <v>18</v>
      </c>
      <c r="AR21" s="5">
        <f t="shared" si="6"/>
        <v>18</v>
      </c>
      <c r="AS21" s="5">
        <f t="shared" si="7"/>
        <v>2</v>
      </c>
      <c r="AT21" s="5">
        <f t="shared" si="8"/>
        <v>0</v>
      </c>
      <c r="AU21" s="5">
        <f t="shared" si="9"/>
        <v>0</v>
      </c>
      <c r="AV21" s="5">
        <f t="shared" si="10"/>
        <v>0</v>
      </c>
      <c r="AW21" s="5">
        <f t="shared" si="12"/>
        <v>0</v>
      </c>
      <c r="AX21" s="5">
        <f t="shared" si="13"/>
        <v>1</v>
      </c>
    </row>
    <row r="22" spans="1:50" ht="15" customHeight="1" x14ac:dyDescent="0.35">
      <c r="A22" s="10">
        <v>20</v>
      </c>
      <c r="B22" s="20">
        <v>907415</v>
      </c>
      <c r="C22" s="21" t="s">
        <v>43</v>
      </c>
      <c r="D22" s="13" t="s">
        <v>21</v>
      </c>
      <c r="E22" s="22" t="s">
        <v>22</v>
      </c>
      <c r="F22" s="14" t="s">
        <v>13</v>
      </c>
      <c r="G22" s="14" t="s">
        <v>9</v>
      </c>
      <c r="H22" s="14"/>
      <c r="I22" s="14" t="s">
        <v>14</v>
      </c>
      <c r="J22" s="14" t="s">
        <v>14</v>
      </c>
      <c r="K22" s="14" t="s">
        <v>14</v>
      </c>
      <c r="L22" s="14" t="s">
        <v>14</v>
      </c>
      <c r="M22" s="14" t="s">
        <v>14</v>
      </c>
      <c r="N22" s="14" t="s">
        <v>14</v>
      </c>
      <c r="O22" s="14"/>
      <c r="P22" s="14" t="s">
        <v>9</v>
      </c>
      <c r="Q22" s="14" t="s">
        <v>13</v>
      </c>
      <c r="R22" s="14"/>
      <c r="S22" s="14" t="s">
        <v>10</v>
      </c>
      <c r="T22" s="14" t="s">
        <v>13</v>
      </c>
      <c r="U22" s="14" t="s">
        <v>13</v>
      </c>
      <c r="V22" s="14" t="s">
        <v>13</v>
      </c>
      <c r="W22" s="14" t="s">
        <v>13</v>
      </c>
      <c r="X22" s="14" t="s">
        <v>15</v>
      </c>
      <c r="Y22" s="14"/>
      <c r="Z22" s="14" t="s">
        <v>13</v>
      </c>
      <c r="AA22" s="14" t="s">
        <v>13</v>
      </c>
      <c r="AB22" s="14" t="s">
        <v>9</v>
      </c>
      <c r="AC22" s="14" t="s">
        <v>13</v>
      </c>
      <c r="AD22" s="14" t="s">
        <v>13</v>
      </c>
      <c r="AE22" s="14" t="s">
        <v>13</v>
      </c>
      <c r="AF22" s="14" t="s">
        <v>9</v>
      </c>
      <c r="AG22" s="14"/>
      <c r="AH22" s="14"/>
      <c r="AI22" s="14" t="s">
        <v>13</v>
      </c>
      <c r="AJ22" s="14"/>
      <c r="AK22" s="15">
        <f t="shared" si="11"/>
        <v>34</v>
      </c>
      <c r="AL22" s="4">
        <f t="shared" si="0"/>
        <v>24</v>
      </c>
      <c r="AM22" s="5">
        <f t="shared" si="1"/>
        <v>4</v>
      </c>
      <c r="AN22" s="5">
        <f t="shared" si="2"/>
        <v>1</v>
      </c>
      <c r="AO22" s="5">
        <f t="shared" si="3"/>
        <v>0</v>
      </c>
      <c r="AP22" s="5">
        <f t="shared" si="4"/>
        <v>0</v>
      </c>
      <c r="AQ22" s="5">
        <f t="shared" si="5"/>
        <v>18</v>
      </c>
      <c r="AR22" s="5">
        <f t="shared" si="6"/>
        <v>9</v>
      </c>
      <c r="AS22" s="5">
        <f t="shared" si="7"/>
        <v>2</v>
      </c>
      <c r="AT22" s="5">
        <f t="shared" si="8"/>
        <v>0</v>
      </c>
      <c r="AU22" s="5">
        <f t="shared" si="9"/>
        <v>0</v>
      </c>
      <c r="AV22" s="5">
        <f t="shared" si="10"/>
        <v>0</v>
      </c>
      <c r="AW22" s="5">
        <f t="shared" si="12"/>
        <v>0</v>
      </c>
      <c r="AX22" s="5">
        <f t="shared" si="13"/>
        <v>5</v>
      </c>
    </row>
    <row r="23" spans="1:50" ht="15" customHeight="1" x14ac:dyDescent="0.35">
      <c r="A23" s="10">
        <v>21</v>
      </c>
      <c r="B23" s="20">
        <v>907417</v>
      </c>
      <c r="C23" s="21" t="s">
        <v>44</v>
      </c>
      <c r="D23" s="13" t="s">
        <v>21</v>
      </c>
      <c r="E23" s="22" t="s">
        <v>22</v>
      </c>
      <c r="F23" s="14" t="s">
        <v>13</v>
      </c>
      <c r="G23" s="14" t="s">
        <v>13</v>
      </c>
      <c r="H23" s="14" t="s">
        <v>13</v>
      </c>
      <c r="I23" s="14" t="s">
        <v>13</v>
      </c>
      <c r="J23" s="14" t="s">
        <v>13</v>
      </c>
      <c r="K23" s="14"/>
      <c r="L23" s="14" t="s">
        <v>14</v>
      </c>
      <c r="M23" s="14" t="s">
        <v>14</v>
      </c>
      <c r="N23" s="14" t="s">
        <v>14</v>
      </c>
      <c r="O23" s="14" t="s">
        <v>14</v>
      </c>
      <c r="P23" s="14" t="s">
        <v>14</v>
      </c>
      <c r="Q23" s="14" t="s">
        <v>14</v>
      </c>
      <c r="R23" s="14"/>
      <c r="S23" s="14" t="s">
        <v>14</v>
      </c>
      <c r="T23" s="14" t="s">
        <v>14</v>
      </c>
      <c r="U23" s="14" t="s">
        <v>14</v>
      </c>
      <c r="V23" s="14" t="s">
        <v>14</v>
      </c>
      <c r="W23" s="14" t="s">
        <v>14</v>
      </c>
      <c r="X23" s="14" t="s">
        <v>14</v>
      </c>
      <c r="Y23" s="14"/>
      <c r="Z23" s="14" t="s">
        <v>13</v>
      </c>
      <c r="AA23" s="14" t="s">
        <v>13</v>
      </c>
      <c r="AB23" s="14" t="s">
        <v>13</v>
      </c>
      <c r="AC23" s="14" t="s">
        <v>13</v>
      </c>
      <c r="AD23" s="14" t="s">
        <v>15</v>
      </c>
      <c r="AE23" s="14" t="s">
        <v>13</v>
      </c>
      <c r="AF23" s="14"/>
      <c r="AG23" s="14" t="s">
        <v>14</v>
      </c>
      <c r="AH23" s="14" t="s">
        <v>14</v>
      </c>
      <c r="AI23" s="14" t="s">
        <v>14</v>
      </c>
      <c r="AJ23" s="14"/>
      <c r="AK23" s="15">
        <f t="shared" si="11"/>
        <v>39.5</v>
      </c>
      <c r="AL23" s="4">
        <f t="shared" si="0"/>
        <v>26</v>
      </c>
      <c r="AM23" s="5">
        <f t="shared" si="1"/>
        <v>0</v>
      </c>
      <c r="AN23" s="5">
        <f t="shared" si="2"/>
        <v>0</v>
      </c>
      <c r="AO23" s="5">
        <f t="shared" si="3"/>
        <v>0</v>
      </c>
      <c r="AP23" s="5">
        <f t="shared" si="4"/>
        <v>0</v>
      </c>
      <c r="AQ23" s="5">
        <f t="shared" si="5"/>
        <v>15</v>
      </c>
      <c r="AR23" s="5">
        <f t="shared" si="6"/>
        <v>22.5</v>
      </c>
      <c r="AS23" s="5">
        <f t="shared" si="7"/>
        <v>2</v>
      </c>
      <c r="AT23" s="5">
        <f t="shared" si="8"/>
        <v>0</v>
      </c>
      <c r="AU23" s="5">
        <f t="shared" si="9"/>
        <v>0</v>
      </c>
      <c r="AV23" s="5">
        <f t="shared" si="10"/>
        <v>0</v>
      </c>
      <c r="AW23" s="5">
        <f t="shared" si="12"/>
        <v>0</v>
      </c>
      <c r="AX23" s="5">
        <f t="shared" si="13"/>
        <v>0</v>
      </c>
    </row>
    <row r="24" spans="1:50" ht="15" customHeight="1" x14ac:dyDescent="0.35">
      <c r="A24" s="10">
        <v>22</v>
      </c>
      <c r="B24" s="20">
        <v>907419</v>
      </c>
      <c r="C24" s="21" t="s">
        <v>45</v>
      </c>
      <c r="D24" s="13" t="s">
        <v>21</v>
      </c>
      <c r="E24" s="22" t="s">
        <v>22</v>
      </c>
      <c r="F24" s="14" t="s">
        <v>14</v>
      </c>
      <c r="G24" s="14" t="s">
        <v>14</v>
      </c>
      <c r="H24" s="14" t="s">
        <v>14</v>
      </c>
      <c r="I24" s="14"/>
      <c r="J24" s="14" t="s">
        <v>13</v>
      </c>
      <c r="K24" s="14" t="s">
        <v>13</v>
      </c>
      <c r="L24" s="14" t="s">
        <v>9</v>
      </c>
      <c r="M24" s="14" t="s">
        <v>13</v>
      </c>
      <c r="N24" s="14" t="s">
        <v>9</v>
      </c>
      <c r="O24" s="14"/>
      <c r="P24" s="14" t="s">
        <v>14</v>
      </c>
      <c r="Q24" s="14" t="s">
        <v>14</v>
      </c>
      <c r="R24" s="14" t="s">
        <v>14</v>
      </c>
      <c r="S24" s="14" t="s">
        <v>14</v>
      </c>
      <c r="T24" s="14" t="s">
        <v>14</v>
      </c>
      <c r="U24" s="14" t="s">
        <v>14</v>
      </c>
      <c r="V24" s="14" t="s">
        <v>14</v>
      </c>
      <c r="W24" s="14"/>
      <c r="X24" s="14" t="s">
        <v>13</v>
      </c>
      <c r="Y24" s="14" t="s">
        <v>15</v>
      </c>
      <c r="Z24" s="14" t="s">
        <v>13</v>
      </c>
      <c r="AA24" s="14" t="s">
        <v>10</v>
      </c>
      <c r="AB24" s="14" t="s">
        <v>13</v>
      </c>
      <c r="AC24" s="14" t="s">
        <v>15</v>
      </c>
      <c r="AD24" s="14"/>
      <c r="AE24" s="14" t="s">
        <v>14</v>
      </c>
      <c r="AF24" s="14" t="s">
        <v>14</v>
      </c>
      <c r="AG24" s="14" t="s">
        <v>14</v>
      </c>
      <c r="AH24" s="14" t="s">
        <v>14</v>
      </c>
      <c r="AI24" s="14" t="s">
        <v>14</v>
      </c>
      <c r="AJ24" s="14"/>
      <c r="AK24" s="15">
        <f t="shared" si="11"/>
        <v>38.5</v>
      </c>
      <c r="AL24" s="4">
        <f t="shared" si="0"/>
        <v>26</v>
      </c>
      <c r="AM24" s="5">
        <f t="shared" si="1"/>
        <v>2</v>
      </c>
      <c r="AN24" s="5">
        <f t="shared" si="2"/>
        <v>1</v>
      </c>
      <c r="AO24" s="5">
        <f t="shared" si="3"/>
        <v>0</v>
      </c>
      <c r="AP24" s="5">
        <f t="shared" si="4"/>
        <v>0</v>
      </c>
      <c r="AQ24" s="5">
        <f t="shared" si="5"/>
        <v>9</v>
      </c>
      <c r="AR24" s="5">
        <f t="shared" si="6"/>
        <v>22.5</v>
      </c>
      <c r="AS24" s="5">
        <f t="shared" si="7"/>
        <v>4</v>
      </c>
      <c r="AT24" s="5">
        <f t="shared" si="8"/>
        <v>0</v>
      </c>
      <c r="AU24" s="5">
        <f t="shared" si="9"/>
        <v>0</v>
      </c>
      <c r="AV24" s="5">
        <f t="shared" si="10"/>
        <v>0</v>
      </c>
      <c r="AW24" s="5">
        <f t="shared" si="12"/>
        <v>0</v>
      </c>
      <c r="AX24" s="5">
        <f t="shared" si="13"/>
        <v>3</v>
      </c>
    </row>
    <row r="25" spans="1:50" ht="15" customHeight="1" x14ac:dyDescent="0.35">
      <c r="A25" s="10">
        <v>23</v>
      </c>
      <c r="B25" s="20">
        <v>907420</v>
      </c>
      <c r="C25" s="21" t="s">
        <v>46</v>
      </c>
      <c r="D25" s="13" t="s">
        <v>21</v>
      </c>
      <c r="E25" s="22" t="s">
        <v>22</v>
      </c>
      <c r="F25" s="14" t="s">
        <v>13</v>
      </c>
      <c r="G25" s="14" t="s">
        <v>13</v>
      </c>
      <c r="H25" s="14" t="s">
        <v>13</v>
      </c>
      <c r="I25" s="14" t="s">
        <v>13</v>
      </c>
      <c r="J25" s="14" t="s">
        <v>13</v>
      </c>
      <c r="K25" s="14"/>
      <c r="L25" s="14" t="s">
        <v>14</v>
      </c>
      <c r="M25" s="14" t="s">
        <v>14</v>
      </c>
      <c r="N25" s="14" t="s">
        <v>14</v>
      </c>
      <c r="O25" s="14" t="s">
        <v>14</v>
      </c>
      <c r="P25" s="14" t="s">
        <v>14</v>
      </c>
      <c r="Q25" s="14" t="s">
        <v>14</v>
      </c>
      <c r="R25" s="14"/>
      <c r="S25" s="17"/>
      <c r="T25" s="14"/>
      <c r="U25" s="14" t="s">
        <v>10</v>
      </c>
      <c r="V25" s="14" t="s">
        <v>10</v>
      </c>
      <c r="W25" s="25"/>
      <c r="X25" s="25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5">
        <f t="shared" si="11"/>
        <v>18.5</v>
      </c>
      <c r="AL25" s="4">
        <f t="shared" si="0"/>
        <v>13</v>
      </c>
      <c r="AM25" s="5">
        <f t="shared" si="1"/>
        <v>0</v>
      </c>
      <c r="AN25" s="5">
        <f t="shared" si="2"/>
        <v>2</v>
      </c>
      <c r="AO25" s="5">
        <f t="shared" si="3"/>
        <v>0</v>
      </c>
      <c r="AP25" s="5">
        <f t="shared" si="4"/>
        <v>0</v>
      </c>
      <c r="AQ25" s="5">
        <f t="shared" si="5"/>
        <v>7.5</v>
      </c>
      <c r="AR25" s="5">
        <f t="shared" si="6"/>
        <v>9</v>
      </c>
      <c r="AS25" s="5">
        <f t="shared" si="7"/>
        <v>0</v>
      </c>
      <c r="AT25" s="5">
        <f t="shared" si="8"/>
        <v>0</v>
      </c>
      <c r="AU25" s="5">
        <f t="shared" si="9"/>
        <v>0</v>
      </c>
      <c r="AV25" s="5">
        <f t="shared" si="10"/>
        <v>0</v>
      </c>
      <c r="AW25" s="5">
        <f t="shared" si="12"/>
        <v>0</v>
      </c>
      <c r="AX25" s="5">
        <f t="shared" si="13"/>
        <v>2</v>
      </c>
    </row>
    <row r="26" spans="1:50" ht="15" customHeight="1" x14ac:dyDescent="0.35">
      <c r="A26" s="10">
        <v>24</v>
      </c>
      <c r="B26" s="20">
        <v>907421</v>
      </c>
      <c r="C26" s="21" t="s">
        <v>47</v>
      </c>
      <c r="D26" s="13" t="s">
        <v>21</v>
      </c>
      <c r="E26" s="22" t="s">
        <v>22</v>
      </c>
      <c r="F26" s="14"/>
      <c r="G26" s="14" t="s">
        <v>10</v>
      </c>
      <c r="H26" s="14" t="s">
        <v>10</v>
      </c>
      <c r="I26" s="14" t="s">
        <v>10</v>
      </c>
      <c r="J26" s="14" t="s">
        <v>10</v>
      </c>
      <c r="K26" s="14" t="s">
        <v>13</v>
      </c>
      <c r="L26" s="14" t="s">
        <v>13</v>
      </c>
      <c r="M26" s="14"/>
      <c r="N26" s="14" t="s">
        <v>13</v>
      </c>
      <c r="O26" s="14" t="s">
        <v>13</v>
      </c>
      <c r="P26" s="14" t="s">
        <v>9</v>
      </c>
      <c r="Q26" s="14" t="s">
        <v>13</v>
      </c>
      <c r="R26" s="14" t="s">
        <v>13</v>
      </c>
      <c r="S26" s="14" t="s">
        <v>9</v>
      </c>
      <c r="T26" s="14" t="s">
        <v>13</v>
      </c>
      <c r="U26" s="14"/>
      <c r="V26" s="14" t="s">
        <v>13</v>
      </c>
      <c r="W26" s="14" t="s">
        <v>9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5">
        <f t="shared" si="11"/>
        <v>19</v>
      </c>
      <c r="AL26" s="4">
        <f t="shared" si="0"/>
        <v>15</v>
      </c>
      <c r="AM26" s="5">
        <f t="shared" si="1"/>
        <v>3</v>
      </c>
      <c r="AN26" s="5">
        <f t="shared" si="2"/>
        <v>4</v>
      </c>
      <c r="AO26" s="5">
        <f t="shared" si="3"/>
        <v>0</v>
      </c>
      <c r="AP26" s="5">
        <f t="shared" si="4"/>
        <v>0</v>
      </c>
      <c r="AQ26" s="5">
        <f t="shared" si="5"/>
        <v>12</v>
      </c>
      <c r="AR26" s="5">
        <f t="shared" si="6"/>
        <v>0</v>
      </c>
      <c r="AS26" s="5">
        <f t="shared" si="7"/>
        <v>0</v>
      </c>
      <c r="AT26" s="5">
        <f t="shared" si="8"/>
        <v>0</v>
      </c>
      <c r="AU26" s="5">
        <f t="shared" si="9"/>
        <v>0</v>
      </c>
      <c r="AV26" s="5">
        <f t="shared" si="10"/>
        <v>0</v>
      </c>
      <c r="AW26" s="5">
        <f t="shared" si="12"/>
        <v>0</v>
      </c>
      <c r="AX26" s="5">
        <f t="shared" si="13"/>
        <v>7</v>
      </c>
    </row>
    <row r="27" spans="1:50" ht="15" customHeight="1" x14ac:dyDescent="0.35">
      <c r="A27" s="10">
        <v>25</v>
      </c>
      <c r="B27" s="20">
        <v>907422</v>
      </c>
      <c r="C27" s="21" t="s">
        <v>48</v>
      </c>
      <c r="D27" s="13" t="s">
        <v>21</v>
      </c>
      <c r="E27" s="22" t="s">
        <v>22</v>
      </c>
      <c r="F27" s="14" t="s">
        <v>14</v>
      </c>
      <c r="G27" s="14" t="s">
        <v>14</v>
      </c>
      <c r="H27" s="14" t="s">
        <v>14</v>
      </c>
      <c r="I27" s="14" t="s">
        <v>14</v>
      </c>
      <c r="J27" s="14"/>
      <c r="K27" s="17"/>
      <c r="L27" s="17"/>
      <c r="M27" s="17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5">
        <f t="shared" si="11"/>
        <v>6</v>
      </c>
      <c r="AL27" s="4">
        <f t="shared" si="0"/>
        <v>4</v>
      </c>
      <c r="AM27" s="5">
        <f t="shared" si="1"/>
        <v>0</v>
      </c>
      <c r="AN27" s="5">
        <f t="shared" si="2"/>
        <v>0</v>
      </c>
      <c r="AO27" s="5">
        <f t="shared" si="3"/>
        <v>0</v>
      </c>
      <c r="AP27" s="5">
        <f t="shared" si="4"/>
        <v>0</v>
      </c>
      <c r="AQ27" s="5">
        <f t="shared" si="5"/>
        <v>0</v>
      </c>
      <c r="AR27" s="5">
        <f t="shared" si="6"/>
        <v>6</v>
      </c>
      <c r="AS27" s="5">
        <f t="shared" si="7"/>
        <v>0</v>
      </c>
      <c r="AT27" s="5">
        <f t="shared" si="8"/>
        <v>0</v>
      </c>
      <c r="AU27" s="5">
        <f t="shared" si="9"/>
        <v>0</v>
      </c>
      <c r="AV27" s="5">
        <f t="shared" si="10"/>
        <v>0</v>
      </c>
      <c r="AW27" s="5">
        <f t="shared" si="12"/>
        <v>0</v>
      </c>
      <c r="AX27" s="5">
        <f t="shared" si="13"/>
        <v>0</v>
      </c>
    </row>
    <row r="28" spans="1:50" ht="15" customHeight="1" x14ac:dyDescent="0.35">
      <c r="A28" s="10">
        <v>26</v>
      </c>
      <c r="B28" s="23">
        <v>907428</v>
      </c>
      <c r="C28" s="21" t="s">
        <v>49</v>
      </c>
      <c r="D28" s="13" t="s">
        <v>21</v>
      </c>
      <c r="E28" s="22" t="s">
        <v>22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6" t="s">
        <v>15</v>
      </c>
      <c r="Z28" s="14" t="s">
        <v>13</v>
      </c>
      <c r="AA28" s="14" t="s">
        <v>13</v>
      </c>
      <c r="AB28" s="14" t="s">
        <v>13</v>
      </c>
      <c r="AC28" s="14" t="s">
        <v>13</v>
      </c>
      <c r="AD28" s="14" t="s">
        <v>15</v>
      </c>
      <c r="AE28" s="14"/>
      <c r="AF28" s="14" t="s">
        <v>13</v>
      </c>
      <c r="AG28" s="14"/>
      <c r="AH28" s="14"/>
      <c r="AI28" s="17"/>
      <c r="AJ28" s="14"/>
      <c r="AK28" s="15">
        <f t="shared" si="11"/>
        <v>11.5</v>
      </c>
      <c r="AL28" s="4">
        <f t="shared" si="0"/>
        <v>7</v>
      </c>
      <c r="AM28" s="5">
        <f t="shared" si="1"/>
        <v>0</v>
      </c>
      <c r="AN28" s="5">
        <f t="shared" si="2"/>
        <v>0</v>
      </c>
      <c r="AO28" s="5">
        <f t="shared" si="3"/>
        <v>0</v>
      </c>
      <c r="AP28" s="5">
        <f t="shared" si="4"/>
        <v>0</v>
      </c>
      <c r="AQ28" s="5">
        <f t="shared" si="5"/>
        <v>7.5</v>
      </c>
      <c r="AR28" s="5">
        <f t="shared" si="6"/>
        <v>0</v>
      </c>
      <c r="AS28" s="5">
        <f t="shared" si="7"/>
        <v>4</v>
      </c>
      <c r="AT28" s="5">
        <f t="shared" si="8"/>
        <v>0</v>
      </c>
      <c r="AU28" s="5">
        <f t="shared" si="9"/>
        <v>0</v>
      </c>
      <c r="AV28" s="5">
        <f t="shared" si="10"/>
        <v>0</v>
      </c>
      <c r="AW28" s="5">
        <f t="shared" si="12"/>
        <v>0</v>
      </c>
      <c r="AX28" s="5">
        <f t="shared" si="13"/>
        <v>0</v>
      </c>
    </row>
    <row r="29" spans="1:50" ht="15" customHeight="1" x14ac:dyDescent="0.35">
      <c r="A29" s="10">
        <v>27</v>
      </c>
      <c r="B29" s="20">
        <v>907429</v>
      </c>
      <c r="C29" s="21" t="s">
        <v>50</v>
      </c>
      <c r="D29" s="13" t="s">
        <v>21</v>
      </c>
      <c r="E29" s="22" t="s">
        <v>22</v>
      </c>
      <c r="F29" s="14" t="s">
        <v>13</v>
      </c>
      <c r="G29" s="14" t="s">
        <v>13</v>
      </c>
      <c r="H29" s="14" t="s">
        <v>13</v>
      </c>
      <c r="I29" s="14" t="s">
        <v>13</v>
      </c>
      <c r="J29" s="14"/>
      <c r="K29" s="14"/>
      <c r="L29" s="14" t="s">
        <v>14</v>
      </c>
      <c r="M29" s="14" t="s">
        <v>14</v>
      </c>
      <c r="N29" s="14" t="s">
        <v>14</v>
      </c>
      <c r="O29" s="14" t="s">
        <v>14</v>
      </c>
      <c r="P29" s="14" t="s">
        <v>14</v>
      </c>
      <c r="Q29" s="14" t="s">
        <v>14</v>
      </c>
      <c r="R29" s="14"/>
      <c r="S29" s="17"/>
      <c r="T29" s="14"/>
      <c r="U29" s="14" t="s">
        <v>10</v>
      </c>
      <c r="V29" s="14" t="s">
        <v>10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5">
        <f t="shared" si="11"/>
        <v>17</v>
      </c>
      <c r="AL29" s="4">
        <f t="shared" si="0"/>
        <v>12</v>
      </c>
      <c r="AM29" s="5">
        <f t="shared" si="1"/>
        <v>0</v>
      </c>
      <c r="AN29" s="5">
        <f t="shared" si="2"/>
        <v>2</v>
      </c>
      <c r="AO29" s="5">
        <f t="shared" si="3"/>
        <v>0</v>
      </c>
      <c r="AP29" s="5">
        <f t="shared" si="4"/>
        <v>0</v>
      </c>
      <c r="AQ29" s="5">
        <f t="shared" si="5"/>
        <v>6</v>
      </c>
      <c r="AR29" s="5">
        <f t="shared" si="6"/>
        <v>9</v>
      </c>
      <c r="AS29" s="5">
        <f t="shared" si="7"/>
        <v>0</v>
      </c>
      <c r="AT29" s="5">
        <f t="shared" si="8"/>
        <v>0</v>
      </c>
      <c r="AU29" s="5">
        <f t="shared" si="9"/>
        <v>0</v>
      </c>
      <c r="AV29" s="5">
        <f t="shared" si="10"/>
        <v>0</v>
      </c>
      <c r="AW29" s="5">
        <f t="shared" si="12"/>
        <v>0</v>
      </c>
      <c r="AX29" s="5">
        <f t="shared" si="13"/>
        <v>2</v>
      </c>
    </row>
    <row r="30" spans="1:50" ht="15" customHeight="1" x14ac:dyDescent="0.35">
      <c r="A30" s="10">
        <v>28</v>
      </c>
      <c r="B30" s="20">
        <v>907430</v>
      </c>
      <c r="C30" s="21" t="s">
        <v>51</v>
      </c>
      <c r="D30" s="13" t="s">
        <v>21</v>
      </c>
      <c r="E30" s="22" t="s">
        <v>22</v>
      </c>
      <c r="F30" s="14" t="s">
        <v>13</v>
      </c>
      <c r="G30" s="14" t="s">
        <v>9</v>
      </c>
      <c r="H30" s="14"/>
      <c r="I30" s="14" t="s">
        <v>14</v>
      </c>
      <c r="J30" s="14" t="s">
        <v>14</v>
      </c>
      <c r="K30" s="14"/>
      <c r="L30" s="14" t="s">
        <v>14</v>
      </c>
      <c r="M30" s="14" t="s">
        <v>14</v>
      </c>
      <c r="N30" s="17"/>
      <c r="O30" s="14"/>
      <c r="P30" s="14" t="s">
        <v>10</v>
      </c>
      <c r="Q30" s="14" t="s">
        <v>10</v>
      </c>
      <c r="R30" s="14" t="s">
        <v>13</v>
      </c>
      <c r="S30" s="14" t="s">
        <v>13</v>
      </c>
      <c r="T30" s="14" t="s">
        <v>13</v>
      </c>
      <c r="U30" s="14" t="s">
        <v>9</v>
      </c>
      <c r="V30" s="14" t="s">
        <v>9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5">
        <f t="shared" si="11"/>
        <v>17</v>
      </c>
      <c r="AL30" s="4">
        <f t="shared" si="0"/>
        <v>13</v>
      </c>
      <c r="AM30" s="5">
        <f t="shared" si="1"/>
        <v>3</v>
      </c>
      <c r="AN30" s="5">
        <f t="shared" si="2"/>
        <v>2</v>
      </c>
      <c r="AO30" s="5">
        <f t="shared" si="3"/>
        <v>0</v>
      </c>
      <c r="AP30" s="5">
        <f t="shared" si="4"/>
        <v>0</v>
      </c>
      <c r="AQ30" s="5">
        <f t="shared" si="5"/>
        <v>6</v>
      </c>
      <c r="AR30" s="5">
        <f t="shared" si="6"/>
        <v>6</v>
      </c>
      <c r="AS30" s="5">
        <f t="shared" si="7"/>
        <v>0</v>
      </c>
      <c r="AT30" s="5">
        <f t="shared" si="8"/>
        <v>0</v>
      </c>
      <c r="AU30" s="5">
        <f t="shared" si="9"/>
        <v>0</v>
      </c>
      <c r="AV30" s="5">
        <f t="shared" si="10"/>
        <v>0</v>
      </c>
      <c r="AW30" s="5">
        <f t="shared" si="12"/>
        <v>0</v>
      </c>
      <c r="AX30" s="5">
        <f t="shared" si="13"/>
        <v>5</v>
      </c>
    </row>
    <row r="31" spans="1:50" ht="15" customHeight="1" x14ac:dyDescent="0.35">
      <c r="A31" s="10">
        <v>29</v>
      </c>
      <c r="B31" s="23">
        <v>907432</v>
      </c>
      <c r="C31" s="21" t="s">
        <v>52</v>
      </c>
      <c r="D31" s="13" t="s">
        <v>21</v>
      </c>
      <c r="E31" s="22" t="s">
        <v>22</v>
      </c>
      <c r="F31" s="14" t="s">
        <v>14</v>
      </c>
      <c r="G31" s="14"/>
      <c r="H31" s="14" t="s">
        <v>14</v>
      </c>
      <c r="I31" s="14" t="s">
        <v>14</v>
      </c>
      <c r="J31" s="14" t="s">
        <v>14</v>
      </c>
      <c r="K31" s="14" t="s">
        <v>14</v>
      </c>
      <c r="L31" s="14" t="s">
        <v>14</v>
      </c>
      <c r="M31" s="14" t="s">
        <v>14</v>
      </c>
      <c r="N31" s="14" t="s">
        <v>14</v>
      </c>
      <c r="O31" s="14"/>
      <c r="P31" s="14" t="s">
        <v>10</v>
      </c>
      <c r="Q31" s="14" t="s">
        <v>10</v>
      </c>
      <c r="R31" s="14" t="s">
        <v>13</v>
      </c>
      <c r="S31" s="14" t="s">
        <v>9</v>
      </c>
      <c r="T31" s="17"/>
      <c r="U31" s="14" t="s">
        <v>10</v>
      </c>
      <c r="V31" s="14" t="s">
        <v>13</v>
      </c>
      <c r="W31" s="14" t="s">
        <v>13</v>
      </c>
      <c r="X31" s="14" t="s">
        <v>13</v>
      </c>
      <c r="Y31" s="14" t="s">
        <v>15</v>
      </c>
      <c r="Z31" s="14" t="s">
        <v>15</v>
      </c>
      <c r="AA31" s="14"/>
      <c r="AB31" s="14" t="s">
        <v>14</v>
      </c>
      <c r="AC31" s="14" t="s">
        <v>14</v>
      </c>
      <c r="AD31" s="14" t="s">
        <v>14</v>
      </c>
      <c r="AE31" s="14" t="s">
        <v>14</v>
      </c>
      <c r="AF31" s="14" t="s">
        <v>14</v>
      </c>
      <c r="AG31" s="14" t="s">
        <v>14</v>
      </c>
      <c r="AH31" s="14" t="s">
        <v>14</v>
      </c>
      <c r="AI31" s="14" t="s">
        <v>14</v>
      </c>
      <c r="AJ31" s="14"/>
      <c r="AK31" s="15">
        <f t="shared" si="11"/>
        <v>38</v>
      </c>
      <c r="AL31" s="4">
        <f t="shared" si="0"/>
        <v>26</v>
      </c>
      <c r="AM31" s="5">
        <f t="shared" si="1"/>
        <v>1</v>
      </c>
      <c r="AN31" s="5">
        <f t="shared" si="2"/>
        <v>3</v>
      </c>
      <c r="AO31" s="5">
        <f t="shared" si="3"/>
        <v>0</v>
      </c>
      <c r="AP31" s="5">
        <f t="shared" si="4"/>
        <v>0</v>
      </c>
      <c r="AQ31" s="5">
        <f t="shared" si="5"/>
        <v>6</v>
      </c>
      <c r="AR31" s="5">
        <f t="shared" si="6"/>
        <v>24</v>
      </c>
      <c r="AS31" s="5">
        <f t="shared" si="7"/>
        <v>4</v>
      </c>
      <c r="AT31" s="5">
        <f t="shared" si="8"/>
        <v>0</v>
      </c>
      <c r="AU31" s="5">
        <f t="shared" si="9"/>
        <v>0</v>
      </c>
      <c r="AV31" s="5">
        <f t="shared" si="10"/>
        <v>0</v>
      </c>
      <c r="AW31" s="5">
        <f t="shared" si="12"/>
        <v>0</v>
      </c>
      <c r="AX31" s="5">
        <f t="shared" si="13"/>
        <v>4</v>
      </c>
    </row>
    <row r="32" spans="1:50" ht="15" customHeight="1" x14ac:dyDescent="0.35">
      <c r="A32" s="10">
        <v>30</v>
      </c>
      <c r="B32" s="20">
        <v>907433</v>
      </c>
      <c r="C32" s="21" t="s">
        <v>53</v>
      </c>
      <c r="D32" s="13" t="s">
        <v>21</v>
      </c>
      <c r="E32" s="22" t="s">
        <v>22</v>
      </c>
      <c r="F32" s="14" t="s">
        <v>13</v>
      </c>
      <c r="G32" s="14" t="s">
        <v>13</v>
      </c>
      <c r="H32" s="14" t="s">
        <v>9</v>
      </c>
      <c r="I32" s="14"/>
      <c r="J32" s="14" t="s">
        <v>14</v>
      </c>
      <c r="K32" s="14" t="s">
        <v>14</v>
      </c>
      <c r="L32" s="14" t="s">
        <v>14</v>
      </c>
      <c r="M32" s="14" t="s">
        <v>14</v>
      </c>
      <c r="N32" s="14" t="s">
        <v>14</v>
      </c>
      <c r="O32" s="14" t="s">
        <v>14</v>
      </c>
      <c r="P32" s="14"/>
      <c r="Q32" s="14" t="s">
        <v>13</v>
      </c>
      <c r="R32" s="14" t="s">
        <v>13</v>
      </c>
      <c r="S32" s="14" t="s">
        <v>13</v>
      </c>
      <c r="T32" s="14" t="s">
        <v>13</v>
      </c>
      <c r="U32" s="14" t="s">
        <v>13</v>
      </c>
      <c r="V32" s="14" t="s">
        <v>13</v>
      </c>
      <c r="W32" s="14"/>
      <c r="X32" s="14" t="s">
        <v>14</v>
      </c>
      <c r="Y32" s="14" t="s">
        <v>14</v>
      </c>
      <c r="Z32" s="14" t="s">
        <v>14</v>
      </c>
      <c r="AA32" s="14" t="s">
        <v>14</v>
      </c>
      <c r="AB32" s="14" t="s">
        <v>14</v>
      </c>
      <c r="AC32" s="14" t="s">
        <v>14</v>
      </c>
      <c r="AD32" s="14" t="s">
        <v>14</v>
      </c>
      <c r="AE32" s="14" t="s">
        <v>14</v>
      </c>
      <c r="AF32" s="14"/>
      <c r="AG32" s="14" t="s">
        <v>13</v>
      </c>
      <c r="AH32" s="14" t="s">
        <v>13</v>
      </c>
      <c r="AI32" s="14" t="s">
        <v>13</v>
      </c>
      <c r="AJ32" s="14"/>
      <c r="AK32" s="15">
        <f t="shared" si="11"/>
        <v>38.5</v>
      </c>
      <c r="AL32" s="4">
        <f t="shared" si="0"/>
        <v>26</v>
      </c>
      <c r="AM32" s="5">
        <f t="shared" si="1"/>
        <v>1</v>
      </c>
      <c r="AN32" s="5">
        <f t="shared" si="2"/>
        <v>0</v>
      </c>
      <c r="AO32" s="5">
        <f t="shared" si="3"/>
        <v>0</v>
      </c>
      <c r="AP32" s="5">
        <f t="shared" si="4"/>
        <v>0</v>
      </c>
      <c r="AQ32" s="5">
        <f t="shared" si="5"/>
        <v>16.5</v>
      </c>
      <c r="AR32" s="5">
        <f t="shared" si="6"/>
        <v>21</v>
      </c>
      <c r="AS32" s="5">
        <f t="shared" si="7"/>
        <v>0</v>
      </c>
      <c r="AT32" s="5">
        <f t="shared" si="8"/>
        <v>0</v>
      </c>
      <c r="AU32" s="5">
        <f t="shared" si="9"/>
        <v>0</v>
      </c>
      <c r="AV32" s="5">
        <f t="shared" si="10"/>
        <v>0</v>
      </c>
      <c r="AW32" s="5">
        <f t="shared" si="12"/>
        <v>0</v>
      </c>
      <c r="AX32" s="5">
        <f t="shared" si="13"/>
        <v>1</v>
      </c>
    </row>
    <row r="33" spans="1:50" ht="15" customHeight="1" x14ac:dyDescent="0.35">
      <c r="A33" s="10">
        <v>31</v>
      </c>
      <c r="B33" s="20">
        <v>907650</v>
      </c>
      <c r="C33" s="21" t="s">
        <v>54</v>
      </c>
      <c r="D33" s="13" t="s">
        <v>21</v>
      </c>
      <c r="E33" s="22" t="s">
        <v>22</v>
      </c>
      <c r="F33" s="14" t="s">
        <v>14</v>
      </c>
      <c r="G33" s="14"/>
      <c r="H33" s="14" t="s">
        <v>13</v>
      </c>
      <c r="I33" s="14" t="s">
        <v>15</v>
      </c>
      <c r="J33" s="14" t="s">
        <v>13</v>
      </c>
      <c r="K33" s="14" t="s">
        <v>13</v>
      </c>
      <c r="L33" s="14" t="s">
        <v>13</v>
      </c>
      <c r="M33" s="14" t="s">
        <v>13</v>
      </c>
      <c r="N33" s="14"/>
      <c r="O33" s="14" t="s">
        <v>14</v>
      </c>
      <c r="P33" s="14" t="s">
        <v>14</v>
      </c>
      <c r="Q33" s="14" t="s">
        <v>14</v>
      </c>
      <c r="R33" s="14" t="s">
        <v>14</v>
      </c>
      <c r="S33" s="14" t="s">
        <v>14</v>
      </c>
      <c r="T33" s="14" t="s">
        <v>14</v>
      </c>
      <c r="U33" s="14"/>
      <c r="V33" s="14" t="s">
        <v>13</v>
      </c>
      <c r="W33" s="14" t="s">
        <v>15</v>
      </c>
      <c r="X33" s="14" t="s">
        <v>13</v>
      </c>
      <c r="Y33" s="14"/>
      <c r="Z33" s="14"/>
      <c r="AA33" s="14" t="s">
        <v>14</v>
      </c>
      <c r="AB33" s="14" t="s">
        <v>14</v>
      </c>
      <c r="AC33" s="14" t="s">
        <v>14</v>
      </c>
      <c r="AD33" s="14" t="s">
        <v>14</v>
      </c>
      <c r="AE33" s="14" t="s">
        <v>14</v>
      </c>
      <c r="AF33" s="14" t="s">
        <v>14</v>
      </c>
      <c r="AG33" s="14" t="s">
        <v>14</v>
      </c>
      <c r="AH33" s="14"/>
      <c r="AI33" s="14" t="s">
        <v>13</v>
      </c>
      <c r="AJ33" s="14"/>
      <c r="AK33" s="15">
        <f t="shared" si="11"/>
        <v>37</v>
      </c>
      <c r="AL33" s="4">
        <f t="shared" si="0"/>
        <v>24</v>
      </c>
      <c r="AM33" s="5">
        <f t="shared" si="1"/>
        <v>0</v>
      </c>
      <c r="AN33" s="5">
        <f t="shared" si="2"/>
        <v>0</v>
      </c>
      <c r="AO33" s="5">
        <f t="shared" si="3"/>
        <v>0</v>
      </c>
      <c r="AP33" s="5">
        <f t="shared" si="4"/>
        <v>0</v>
      </c>
      <c r="AQ33" s="5">
        <f t="shared" si="5"/>
        <v>12</v>
      </c>
      <c r="AR33" s="5">
        <f t="shared" si="6"/>
        <v>21</v>
      </c>
      <c r="AS33" s="5">
        <f t="shared" si="7"/>
        <v>4</v>
      </c>
      <c r="AT33" s="5">
        <f t="shared" si="8"/>
        <v>0</v>
      </c>
      <c r="AU33" s="5">
        <f t="shared" si="9"/>
        <v>0</v>
      </c>
      <c r="AV33" s="5">
        <f t="shared" si="10"/>
        <v>0</v>
      </c>
      <c r="AW33" s="5">
        <f t="shared" si="12"/>
        <v>0</v>
      </c>
      <c r="AX33" s="5">
        <f t="shared" si="13"/>
        <v>0</v>
      </c>
    </row>
    <row r="34" spans="1:50" ht="15" customHeight="1" x14ac:dyDescent="0.35">
      <c r="A34" s="10">
        <v>32</v>
      </c>
      <c r="B34" s="20">
        <v>907689</v>
      </c>
      <c r="C34" s="21" t="s">
        <v>55</v>
      </c>
      <c r="D34" s="13" t="s">
        <v>21</v>
      </c>
      <c r="E34" s="22" t="s">
        <v>22</v>
      </c>
      <c r="F34" s="14" t="s">
        <v>14</v>
      </c>
      <c r="G34" s="14" t="s">
        <v>14</v>
      </c>
      <c r="H34" s="14" t="s">
        <v>14</v>
      </c>
      <c r="I34" s="14" t="s">
        <v>14</v>
      </c>
      <c r="J34" s="14" t="s">
        <v>14</v>
      </c>
      <c r="K34" s="14" t="s">
        <v>14</v>
      </c>
      <c r="L34" s="14"/>
      <c r="M34" s="14" t="s">
        <v>13</v>
      </c>
      <c r="N34" s="14" t="s">
        <v>13</v>
      </c>
      <c r="O34" s="14" t="s">
        <v>13</v>
      </c>
      <c r="P34" s="14" t="s">
        <v>13</v>
      </c>
      <c r="Q34" s="14" t="s">
        <v>13</v>
      </c>
      <c r="R34" s="14" t="s">
        <v>10</v>
      </c>
      <c r="S34" s="14"/>
      <c r="T34" s="14" t="s">
        <v>16</v>
      </c>
      <c r="U34" s="14" t="s">
        <v>10</v>
      </c>
      <c r="V34" s="14" t="s">
        <v>16</v>
      </c>
      <c r="W34" s="14" t="s">
        <v>10</v>
      </c>
      <c r="X34" s="14" t="s">
        <v>16</v>
      </c>
      <c r="Y34" s="14" t="s">
        <v>14</v>
      </c>
      <c r="Z34" s="14"/>
      <c r="AA34" s="14" t="s">
        <v>14</v>
      </c>
      <c r="AB34" s="14" t="s">
        <v>14</v>
      </c>
      <c r="AC34" s="14" t="s">
        <v>14</v>
      </c>
      <c r="AD34" s="14" t="s">
        <v>14</v>
      </c>
      <c r="AE34" s="14" t="s">
        <v>14</v>
      </c>
      <c r="AF34" s="14" t="s">
        <v>14</v>
      </c>
      <c r="AG34" s="14" t="s">
        <v>14</v>
      </c>
      <c r="AH34" s="14"/>
      <c r="AI34" s="14" t="s">
        <v>13</v>
      </c>
      <c r="AJ34" s="14"/>
      <c r="AK34" s="15">
        <f t="shared" si="11"/>
        <v>39</v>
      </c>
      <c r="AL34" s="4">
        <f t="shared" si="0"/>
        <v>26</v>
      </c>
      <c r="AM34" s="5">
        <f t="shared" si="1"/>
        <v>0</v>
      </c>
      <c r="AN34" s="5">
        <f t="shared" si="2"/>
        <v>3</v>
      </c>
      <c r="AO34" s="5">
        <f t="shared" si="3"/>
        <v>0</v>
      </c>
      <c r="AP34" s="5">
        <f t="shared" si="4"/>
        <v>0</v>
      </c>
      <c r="AQ34" s="5">
        <f t="shared" si="5"/>
        <v>9</v>
      </c>
      <c r="AR34" s="5">
        <f t="shared" si="6"/>
        <v>21</v>
      </c>
      <c r="AS34" s="5">
        <f t="shared" si="7"/>
        <v>0</v>
      </c>
      <c r="AT34" s="5">
        <f t="shared" si="8"/>
        <v>6</v>
      </c>
      <c r="AU34" s="5">
        <f t="shared" si="9"/>
        <v>0</v>
      </c>
      <c r="AV34" s="5">
        <f t="shared" si="10"/>
        <v>0</v>
      </c>
      <c r="AW34" s="5">
        <f t="shared" si="12"/>
        <v>0</v>
      </c>
      <c r="AX34" s="5">
        <f t="shared" si="13"/>
        <v>3</v>
      </c>
    </row>
    <row r="35" spans="1:50" ht="15" customHeight="1" x14ac:dyDescent="0.35">
      <c r="A35" s="10">
        <v>33</v>
      </c>
      <c r="B35" s="20">
        <v>907690</v>
      </c>
      <c r="C35" s="21" t="s">
        <v>56</v>
      </c>
      <c r="D35" s="13" t="s">
        <v>21</v>
      </c>
      <c r="E35" s="22" t="s">
        <v>22</v>
      </c>
      <c r="F35" s="14" t="s">
        <v>14</v>
      </c>
      <c r="G35" s="14" t="s">
        <v>14</v>
      </c>
      <c r="H35" s="14" t="s">
        <v>14</v>
      </c>
      <c r="I35" s="14" t="s">
        <v>14</v>
      </c>
      <c r="J35" s="14" t="s">
        <v>14</v>
      </c>
      <c r="K35" s="14" t="s">
        <v>14</v>
      </c>
      <c r="L35" s="14"/>
      <c r="M35" s="14" t="s">
        <v>13</v>
      </c>
      <c r="N35" s="14" t="s">
        <v>13</v>
      </c>
      <c r="O35" s="14" t="s">
        <v>13</v>
      </c>
      <c r="P35" s="14" t="s">
        <v>13</v>
      </c>
      <c r="Q35" s="14" t="s">
        <v>9</v>
      </c>
      <c r="R35" s="14" t="s">
        <v>13</v>
      </c>
      <c r="S35" s="14"/>
      <c r="T35" s="14" t="s">
        <v>10</v>
      </c>
      <c r="U35" s="14" t="s">
        <v>16</v>
      </c>
      <c r="V35" s="14" t="s">
        <v>10</v>
      </c>
      <c r="W35" s="14" t="s">
        <v>10</v>
      </c>
      <c r="X35" s="14" t="s">
        <v>16</v>
      </c>
      <c r="Y35" s="14" t="s">
        <v>10</v>
      </c>
      <c r="Z35" s="14"/>
      <c r="AA35" s="14" t="s">
        <v>14</v>
      </c>
      <c r="AB35" s="14" t="s">
        <v>14</v>
      </c>
      <c r="AC35" s="14" t="s">
        <v>14</v>
      </c>
      <c r="AD35" s="14" t="s">
        <v>14</v>
      </c>
      <c r="AE35" s="14" t="s">
        <v>14</v>
      </c>
      <c r="AF35" s="14" t="s">
        <v>14</v>
      </c>
      <c r="AG35" s="14" t="s">
        <v>14</v>
      </c>
      <c r="AH35" s="14"/>
      <c r="AI35" s="14" t="s">
        <v>13</v>
      </c>
      <c r="AJ35" s="14"/>
      <c r="AK35" s="15">
        <f t="shared" si="11"/>
        <v>37.5</v>
      </c>
      <c r="AL35" s="4">
        <f t="shared" si="0"/>
        <v>26</v>
      </c>
      <c r="AM35" s="5">
        <f t="shared" si="1"/>
        <v>1</v>
      </c>
      <c r="AN35" s="5">
        <f t="shared" si="2"/>
        <v>4</v>
      </c>
      <c r="AO35" s="5">
        <f t="shared" si="3"/>
        <v>0</v>
      </c>
      <c r="AP35" s="5">
        <f t="shared" si="4"/>
        <v>0</v>
      </c>
      <c r="AQ35" s="5">
        <f t="shared" si="5"/>
        <v>9</v>
      </c>
      <c r="AR35" s="5">
        <f t="shared" si="6"/>
        <v>19.5</v>
      </c>
      <c r="AS35" s="5">
        <f t="shared" si="7"/>
        <v>0</v>
      </c>
      <c r="AT35" s="5">
        <f t="shared" si="8"/>
        <v>4</v>
      </c>
      <c r="AU35" s="5">
        <f t="shared" si="9"/>
        <v>0</v>
      </c>
      <c r="AV35" s="5">
        <f t="shared" si="10"/>
        <v>0</v>
      </c>
      <c r="AW35" s="5">
        <f t="shared" si="12"/>
        <v>0</v>
      </c>
      <c r="AX35" s="5">
        <f t="shared" si="13"/>
        <v>5</v>
      </c>
    </row>
    <row r="36" spans="1:50" ht="15" customHeight="1" x14ac:dyDescent="0.35">
      <c r="A36" s="10">
        <v>34</v>
      </c>
      <c r="B36" s="20">
        <v>907714</v>
      </c>
      <c r="C36" s="21" t="s">
        <v>57</v>
      </c>
      <c r="D36" s="13" t="s">
        <v>21</v>
      </c>
      <c r="E36" s="22" t="s">
        <v>22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 t="s">
        <v>9</v>
      </c>
      <c r="Q36" s="14" t="s">
        <v>9</v>
      </c>
      <c r="R36" s="17"/>
      <c r="S36" s="17"/>
      <c r="T36" s="14" t="s">
        <v>9</v>
      </c>
      <c r="U36" s="14" t="s">
        <v>9</v>
      </c>
      <c r="V36" s="14" t="s">
        <v>9</v>
      </c>
      <c r="W36" s="14"/>
      <c r="X36" s="14" t="s">
        <v>9</v>
      </c>
      <c r="Y36" s="14" t="s">
        <v>9</v>
      </c>
      <c r="Z36" s="14" t="s">
        <v>9</v>
      </c>
      <c r="AA36" s="14"/>
      <c r="AB36" s="14" t="s">
        <v>9</v>
      </c>
      <c r="AC36" s="17"/>
      <c r="AD36" s="14" t="s">
        <v>9</v>
      </c>
      <c r="AE36" s="14" t="s">
        <v>9</v>
      </c>
      <c r="AF36" s="14" t="s">
        <v>9</v>
      </c>
      <c r="AG36" s="14" t="s">
        <v>9</v>
      </c>
      <c r="AH36" s="14"/>
      <c r="AI36" s="17"/>
      <c r="AJ36" s="14"/>
      <c r="AK36" s="15">
        <f t="shared" si="11"/>
        <v>13</v>
      </c>
      <c r="AL36" s="4">
        <f t="shared" si="0"/>
        <v>13</v>
      </c>
      <c r="AM36" s="5">
        <f t="shared" si="1"/>
        <v>13</v>
      </c>
      <c r="AN36" s="5">
        <f t="shared" si="2"/>
        <v>0</v>
      </c>
      <c r="AO36" s="5">
        <f t="shared" si="3"/>
        <v>0</v>
      </c>
      <c r="AP36" s="5">
        <f t="shared" si="4"/>
        <v>0</v>
      </c>
      <c r="AQ36" s="5">
        <f t="shared" si="5"/>
        <v>0</v>
      </c>
      <c r="AR36" s="5">
        <f t="shared" si="6"/>
        <v>0</v>
      </c>
      <c r="AS36" s="5">
        <f t="shared" si="7"/>
        <v>0</v>
      </c>
      <c r="AT36" s="5">
        <f t="shared" si="8"/>
        <v>0</v>
      </c>
      <c r="AU36" s="5">
        <f t="shared" si="9"/>
        <v>0</v>
      </c>
      <c r="AV36" s="5">
        <f t="shared" si="10"/>
        <v>0</v>
      </c>
      <c r="AW36" s="5">
        <f t="shared" si="12"/>
        <v>0</v>
      </c>
      <c r="AX36" s="5">
        <f t="shared" si="13"/>
        <v>13</v>
      </c>
    </row>
    <row r="37" spans="1:50" ht="15" customHeight="1" x14ac:dyDescent="0.35">
      <c r="A37" s="10">
        <v>35</v>
      </c>
      <c r="B37" s="20">
        <v>907390</v>
      </c>
      <c r="C37" s="21" t="s">
        <v>58</v>
      </c>
      <c r="D37" s="13" t="s">
        <v>21</v>
      </c>
      <c r="E37" s="22" t="s">
        <v>59</v>
      </c>
      <c r="F37" s="14"/>
      <c r="G37" s="14" t="s">
        <v>9</v>
      </c>
      <c r="H37" s="14" t="s">
        <v>9</v>
      </c>
      <c r="I37" s="14" t="s">
        <v>10</v>
      </c>
      <c r="J37" s="14"/>
      <c r="K37" s="14" t="s">
        <v>9</v>
      </c>
      <c r="L37" s="14" t="s">
        <v>9</v>
      </c>
      <c r="M37" s="14"/>
      <c r="N37" s="14" t="s">
        <v>11</v>
      </c>
      <c r="O37" s="14"/>
      <c r="P37" s="14" t="s">
        <v>11</v>
      </c>
      <c r="Q37" s="14" t="s">
        <v>11</v>
      </c>
      <c r="R37" s="14" t="s">
        <v>11</v>
      </c>
      <c r="S37" s="14" t="s">
        <v>11</v>
      </c>
      <c r="T37" s="14"/>
      <c r="U37" s="14"/>
      <c r="V37" s="14" t="s">
        <v>10</v>
      </c>
      <c r="W37" s="14" t="s">
        <v>10</v>
      </c>
      <c r="X37" s="14" t="s">
        <v>10</v>
      </c>
      <c r="Y37" s="14" t="s">
        <v>9</v>
      </c>
      <c r="Z37" s="14" t="s">
        <v>11</v>
      </c>
      <c r="AA37" s="14"/>
      <c r="AB37" s="14" t="s">
        <v>12</v>
      </c>
      <c r="AC37" s="14" t="s">
        <v>9</v>
      </c>
      <c r="AD37" s="14" t="s">
        <v>9</v>
      </c>
      <c r="AE37" s="14" t="s">
        <v>9</v>
      </c>
      <c r="AF37" s="14" t="s">
        <v>9</v>
      </c>
      <c r="AG37" s="14"/>
      <c r="AH37" s="14" t="s">
        <v>11</v>
      </c>
      <c r="AI37" s="14" t="s">
        <v>11</v>
      </c>
      <c r="AJ37" s="14"/>
      <c r="AK37" s="15">
        <f t="shared" si="11"/>
        <v>22</v>
      </c>
      <c r="AL37" s="4">
        <f t="shared" si="0"/>
        <v>22</v>
      </c>
      <c r="AM37" s="5">
        <f t="shared" si="1"/>
        <v>9</v>
      </c>
      <c r="AN37" s="5">
        <f t="shared" si="2"/>
        <v>4</v>
      </c>
      <c r="AO37" s="5">
        <f t="shared" si="3"/>
        <v>8</v>
      </c>
      <c r="AP37" s="5">
        <f t="shared" si="4"/>
        <v>1</v>
      </c>
      <c r="AQ37" s="5">
        <f t="shared" si="5"/>
        <v>0</v>
      </c>
      <c r="AR37" s="5">
        <f t="shared" si="6"/>
        <v>0</v>
      </c>
      <c r="AS37" s="5">
        <f t="shared" si="7"/>
        <v>0</v>
      </c>
      <c r="AT37" s="5">
        <f t="shared" si="8"/>
        <v>0</v>
      </c>
      <c r="AU37" s="5">
        <f t="shared" si="9"/>
        <v>0</v>
      </c>
      <c r="AV37" s="5">
        <f t="shared" si="10"/>
        <v>0</v>
      </c>
      <c r="AW37" s="5">
        <f t="shared" si="12"/>
        <v>0</v>
      </c>
      <c r="AX37" s="5">
        <f t="shared" si="13"/>
        <v>22</v>
      </c>
    </row>
    <row r="38" spans="1:50" ht="15" customHeight="1" x14ac:dyDescent="0.35">
      <c r="A38" s="10">
        <v>36</v>
      </c>
      <c r="B38" s="20">
        <v>907391</v>
      </c>
      <c r="C38" s="21" t="s">
        <v>60</v>
      </c>
      <c r="D38" s="13" t="s">
        <v>21</v>
      </c>
      <c r="E38" s="22" t="s">
        <v>59</v>
      </c>
      <c r="F38" s="14" t="s">
        <v>9</v>
      </c>
      <c r="G38" s="14" t="s">
        <v>9</v>
      </c>
      <c r="H38" s="14" t="s">
        <v>9</v>
      </c>
      <c r="I38" s="14" t="s">
        <v>9</v>
      </c>
      <c r="J38" s="14"/>
      <c r="K38" s="14" t="s">
        <v>9</v>
      </c>
      <c r="L38" s="14"/>
      <c r="M38" s="14" t="s">
        <v>10</v>
      </c>
      <c r="N38" s="14" t="s">
        <v>10</v>
      </c>
      <c r="O38" s="14" t="s">
        <v>11</v>
      </c>
      <c r="P38" s="14" t="s">
        <v>10</v>
      </c>
      <c r="Q38" s="14"/>
      <c r="R38" s="14" t="s">
        <v>10</v>
      </c>
      <c r="S38" s="14"/>
      <c r="T38" s="14" t="s">
        <v>9</v>
      </c>
      <c r="U38" s="14"/>
      <c r="V38" s="14" t="s">
        <v>9</v>
      </c>
      <c r="W38" s="14"/>
      <c r="X38" s="14" t="s">
        <v>9</v>
      </c>
      <c r="Y38" s="14" t="s">
        <v>10</v>
      </c>
      <c r="Z38" s="14"/>
      <c r="AA38" s="14" t="s">
        <v>11</v>
      </c>
      <c r="AB38" s="14" t="s">
        <v>11</v>
      </c>
      <c r="AC38" s="14" t="s">
        <v>11</v>
      </c>
      <c r="AD38" s="14"/>
      <c r="AE38" s="14"/>
      <c r="AF38" s="14"/>
      <c r="AG38" s="14" t="s">
        <v>11</v>
      </c>
      <c r="AH38" s="14" t="s">
        <v>10</v>
      </c>
      <c r="AI38" s="14" t="s">
        <v>15</v>
      </c>
      <c r="AJ38" s="14"/>
      <c r="AK38" s="15">
        <f t="shared" si="11"/>
        <v>21</v>
      </c>
      <c r="AL38" s="4">
        <f t="shared" si="0"/>
        <v>20</v>
      </c>
      <c r="AM38" s="5">
        <f t="shared" si="1"/>
        <v>8</v>
      </c>
      <c r="AN38" s="5">
        <f t="shared" si="2"/>
        <v>6</v>
      </c>
      <c r="AO38" s="5">
        <f t="shared" si="3"/>
        <v>5</v>
      </c>
      <c r="AP38" s="5">
        <f t="shared" si="4"/>
        <v>0</v>
      </c>
      <c r="AQ38" s="5">
        <f t="shared" si="5"/>
        <v>0</v>
      </c>
      <c r="AR38" s="5">
        <f t="shared" si="6"/>
        <v>0</v>
      </c>
      <c r="AS38" s="5">
        <f t="shared" si="7"/>
        <v>2</v>
      </c>
      <c r="AT38" s="5">
        <f t="shared" si="8"/>
        <v>0</v>
      </c>
      <c r="AU38" s="5">
        <f t="shared" si="9"/>
        <v>0</v>
      </c>
      <c r="AV38" s="5">
        <f t="shared" si="10"/>
        <v>0</v>
      </c>
      <c r="AW38" s="5">
        <f t="shared" si="12"/>
        <v>0</v>
      </c>
      <c r="AX38" s="5">
        <f t="shared" si="13"/>
        <v>19</v>
      </c>
    </row>
    <row r="39" spans="1:50" ht="15" customHeight="1" x14ac:dyDescent="0.35">
      <c r="A39" s="10">
        <v>37</v>
      </c>
      <c r="B39" s="18">
        <v>907392</v>
      </c>
      <c r="C39" s="19" t="s">
        <v>61</v>
      </c>
      <c r="D39" s="13" t="s">
        <v>21</v>
      </c>
      <c r="E39" s="22" t="s">
        <v>59</v>
      </c>
      <c r="F39" s="14" t="s">
        <v>11</v>
      </c>
      <c r="G39" s="14"/>
      <c r="H39" s="14" t="s">
        <v>16</v>
      </c>
      <c r="I39" s="14"/>
      <c r="J39" s="14" t="s">
        <v>11</v>
      </c>
      <c r="K39" s="14" t="s">
        <v>11</v>
      </c>
      <c r="L39" s="14"/>
      <c r="M39" s="14" t="s">
        <v>16</v>
      </c>
      <c r="N39" s="14" t="s">
        <v>10</v>
      </c>
      <c r="O39" s="14" t="s">
        <v>10</v>
      </c>
      <c r="P39" s="14" t="s">
        <v>10</v>
      </c>
      <c r="Q39" s="14" t="s">
        <v>10</v>
      </c>
      <c r="R39" s="14" t="s">
        <v>10</v>
      </c>
      <c r="S39" s="14"/>
      <c r="T39" s="14" t="s">
        <v>9</v>
      </c>
      <c r="U39" s="14" t="s">
        <v>9</v>
      </c>
      <c r="V39" s="14" t="s">
        <v>9</v>
      </c>
      <c r="W39" s="14" t="s">
        <v>9</v>
      </c>
      <c r="X39" s="14" t="s">
        <v>9</v>
      </c>
      <c r="Y39" s="14" t="s">
        <v>9</v>
      </c>
      <c r="Z39" s="14"/>
      <c r="AA39" s="14" t="s">
        <v>15</v>
      </c>
      <c r="AB39" s="14"/>
      <c r="AC39" s="14" t="s">
        <v>16</v>
      </c>
      <c r="AD39" s="14" t="s">
        <v>11</v>
      </c>
      <c r="AE39" s="14" t="s">
        <v>11</v>
      </c>
      <c r="AF39" s="14"/>
      <c r="AG39" s="14" t="s">
        <v>15</v>
      </c>
      <c r="AH39" s="14" t="s">
        <v>15</v>
      </c>
      <c r="AI39" s="14" t="s">
        <v>10</v>
      </c>
      <c r="AJ39" s="14"/>
      <c r="AK39" s="15">
        <f t="shared" si="11"/>
        <v>29</v>
      </c>
      <c r="AL39" s="4">
        <f t="shared" si="0"/>
        <v>23</v>
      </c>
      <c r="AM39" s="5">
        <f t="shared" si="1"/>
        <v>6</v>
      </c>
      <c r="AN39" s="5">
        <f t="shared" si="2"/>
        <v>6</v>
      </c>
      <c r="AO39" s="5">
        <f t="shared" si="3"/>
        <v>5</v>
      </c>
      <c r="AP39" s="5">
        <f t="shared" si="4"/>
        <v>0</v>
      </c>
      <c r="AQ39" s="5">
        <f t="shared" si="5"/>
        <v>0</v>
      </c>
      <c r="AR39" s="5">
        <f t="shared" si="6"/>
        <v>0</v>
      </c>
      <c r="AS39" s="5">
        <f t="shared" si="7"/>
        <v>6</v>
      </c>
      <c r="AT39" s="5">
        <f t="shared" si="8"/>
        <v>6</v>
      </c>
      <c r="AU39" s="5">
        <f t="shared" si="9"/>
        <v>0</v>
      </c>
      <c r="AV39" s="5">
        <f t="shared" si="10"/>
        <v>0</v>
      </c>
      <c r="AW39" s="5">
        <f t="shared" si="12"/>
        <v>0</v>
      </c>
      <c r="AX39" s="5">
        <f t="shared" si="13"/>
        <v>17</v>
      </c>
    </row>
    <row r="40" spans="1:50" ht="15" customHeight="1" x14ac:dyDescent="0.35">
      <c r="A40" s="10">
        <v>38</v>
      </c>
      <c r="B40" s="20">
        <v>907412</v>
      </c>
      <c r="C40" s="21" t="s">
        <v>62</v>
      </c>
      <c r="D40" s="13" t="s">
        <v>21</v>
      </c>
      <c r="E40" s="26" t="s">
        <v>63</v>
      </c>
      <c r="F40" s="14"/>
      <c r="G40" s="14" t="s">
        <v>10</v>
      </c>
      <c r="H40" s="14" t="s">
        <v>10</v>
      </c>
      <c r="I40" s="14" t="s">
        <v>10</v>
      </c>
      <c r="J40" s="14" t="s">
        <v>10</v>
      </c>
      <c r="K40" s="14" t="s">
        <v>10</v>
      </c>
      <c r="L40" s="14" t="s">
        <v>10</v>
      </c>
      <c r="M40" s="14" t="s">
        <v>10</v>
      </c>
      <c r="N40" s="14" t="s">
        <v>10</v>
      </c>
      <c r="O40" s="14"/>
      <c r="P40" s="14" t="s">
        <v>15</v>
      </c>
      <c r="Q40" s="14" t="s">
        <v>9</v>
      </c>
      <c r="R40" s="14" t="s">
        <v>9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5">
        <f t="shared" si="11"/>
        <v>12</v>
      </c>
      <c r="AL40" s="4">
        <f t="shared" si="0"/>
        <v>11</v>
      </c>
      <c r="AM40" s="5">
        <f t="shared" si="1"/>
        <v>2</v>
      </c>
      <c r="AN40" s="5">
        <f t="shared" si="2"/>
        <v>8</v>
      </c>
      <c r="AO40" s="5">
        <f t="shared" si="3"/>
        <v>0</v>
      </c>
      <c r="AP40" s="5">
        <f t="shared" si="4"/>
        <v>0</v>
      </c>
      <c r="AQ40" s="5">
        <f t="shared" si="5"/>
        <v>0</v>
      </c>
      <c r="AR40" s="5">
        <f t="shared" si="6"/>
        <v>0</v>
      </c>
      <c r="AS40" s="5">
        <f t="shared" si="7"/>
        <v>2</v>
      </c>
      <c r="AT40" s="5">
        <f t="shared" si="8"/>
        <v>0</v>
      </c>
      <c r="AU40" s="5">
        <f t="shared" si="9"/>
        <v>0</v>
      </c>
      <c r="AV40" s="5">
        <f t="shared" si="10"/>
        <v>0</v>
      </c>
      <c r="AW40" s="5">
        <f t="shared" si="12"/>
        <v>0</v>
      </c>
      <c r="AX40" s="5">
        <f t="shared" si="13"/>
        <v>10</v>
      </c>
    </row>
    <row r="41" spans="1:50" ht="15" customHeight="1" x14ac:dyDescent="0.35">
      <c r="A41" s="10">
        <v>39</v>
      </c>
      <c r="B41" s="20">
        <v>907424</v>
      </c>
      <c r="C41" s="21" t="s">
        <v>64</v>
      </c>
      <c r="D41" s="13" t="s">
        <v>21</v>
      </c>
      <c r="E41" s="26" t="s">
        <v>65</v>
      </c>
      <c r="F41" s="14"/>
      <c r="G41" s="14" t="s">
        <v>9</v>
      </c>
      <c r="H41" s="14"/>
      <c r="I41" s="14" t="s">
        <v>10</v>
      </c>
      <c r="J41" s="14" t="s">
        <v>11</v>
      </c>
      <c r="K41" s="14" t="s">
        <v>11</v>
      </c>
      <c r="L41" s="14" t="s">
        <v>10</v>
      </c>
      <c r="M41" s="14" t="s">
        <v>10</v>
      </c>
      <c r="N41" s="14" t="s">
        <v>10</v>
      </c>
      <c r="O41" s="14"/>
      <c r="P41" s="14"/>
      <c r="Q41" s="14"/>
      <c r="R41" s="14" t="s">
        <v>16</v>
      </c>
      <c r="S41" s="14" t="s">
        <v>11</v>
      </c>
      <c r="T41" s="14" t="s">
        <v>10</v>
      </c>
      <c r="U41" s="14" t="s">
        <v>9</v>
      </c>
      <c r="V41" s="14"/>
      <c r="W41" s="14" t="s">
        <v>9</v>
      </c>
      <c r="X41" s="14" t="s">
        <v>10</v>
      </c>
      <c r="Y41" s="14" t="s">
        <v>10</v>
      </c>
      <c r="Z41" s="14" t="s">
        <v>15</v>
      </c>
      <c r="AA41" s="14" t="s">
        <v>9</v>
      </c>
      <c r="AB41" s="14" t="s">
        <v>9</v>
      </c>
      <c r="AC41" s="14"/>
      <c r="AD41" s="14"/>
      <c r="AE41" s="14" t="s">
        <v>11</v>
      </c>
      <c r="AF41" s="14" t="s">
        <v>11</v>
      </c>
      <c r="AG41" s="14" t="s">
        <v>10</v>
      </c>
      <c r="AH41" s="14" t="s">
        <v>10</v>
      </c>
      <c r="AI41" s="14" t="s">
        <v>10</v>
      </c>
      <c r="AJ41" s="14"/>
      <c r="AK41" s="15">
        <f t="shared" si="11"/>
        <v>24</v>
      </c>
      <c r="AL41" s="4">
        <f t="shared" si="0"/>
        <v>22</v>
      </c>
      <c r="AM41" s="5">
        <f t="shared" si="1"/>
        <v>5</v>
      </c>
      <c r="AN41" s="5">
        <f t="shared" si="2"/>
        <v>10</v>
      </c>
      <c r="AO41" s="5">
        <f t="shared" si="3"/>
        <v>5</v>
      </c>
      <c r="AP41" s="5">
        <f t="shared" si="4"/>
        <v>0</v>
      </c>
      <c r="AQ41" s="5">
        <f t="shared" si="5"/>
        <v>0</v>
      </c>
      <c r="AR41" s="5">
        <f t="shared" si="6"/>
        <v>0</v>
      </c>
      <c r="AS41" s="5">
        <f t="shared" si="7"/>
        <v>2</v>
      </c>
      <c r="AT41" s="5">
        <f t="shared" si="8"/>
        <v>2</v>
      </c>
      <c r="AU41" s="5">
        <f t="shared" si="9"/>
        <v>0</v>
      </c>
      <c r="AV41" s="5">
        <f t="shared" si="10"/>
        <v>0</v>
      </c>
      <c r="AW41" s="5">
        <f t="shared" si="12"/>
        <v>0</v>
      </c>
      <c r="AX41" s="5">
        <f t="shared" si="13"/>
        <v>20</v>
      </c>
    </row>
    <row r="42" spans="1:50" ht="15" customHeight="1" x14ac:dyDescent="0.35">
      <c r="A42" s="10">
        <v>40</v>
      </c>
      <c r="B42" s="20">
        <v>907426</v>
      </c>
      <c r="C42" s="21" t="s">
        <v>66</v>
      </c>
      <c r="D42" s="13" t="s">
        <v>21</v>
      </c>
      <c r="E42" s="26" t="s">
        <v>65</v>
      </c>
      <c r="F42" s="14" t="s">
        <v>9</v>
      </c>
      <c r="G42" s="14"/>
      <c r="H42" s="14" t="s">
        <v>9</v>
      </c>
      <c r="I42" s="14" t="s">
        <v>9</v>
      </c>
      <c r="J42" s="14" t="s">
        <v>9</v>
      </c>
      <c r="K42" s="14" t="s">
        <v>9</v>
      </c>
      <c r="L42" s="14" t="s">
        <v>9</v>
      </c>
      <c r="M42" s="14"/>
      <c r="N42" s="14"/>
      <c r="O42" s="14" t="s">
        <v>10</v>
      </c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5">
        <f t="shared" si="11"/>
        <v>7</v>
      </c>
      <c r="AL42" s="4">
        <f t="shared" si="0"/>
        <v>7</v>
      </c>
      <c r="AM42" s="5">
        <f t="shared" si="1"/>
        <v>6</v>
      </c>
      <c r="AN42" s="5">
        <f t="shared" si="2"/>
        <v>1</v>
      </c>
      <c r="AO42" s="5">
        <f t="shared" si="3"/>
        <v>0</v>
      </c>
      <c r="AP42" s="5">
        <f t="shared" si="4"/>
        <v>0</v>
      </c>
      <c r="AQ42" s="5">
        <f t="shared" si="5"/>
        <v>0</v>
      </c>
      <c r="AR42" s="5">
        <f t="shared" si="6"/>
        <v>0</v>
      </c>
      <c r="AS42" s="5">
        <f t="shared" si="7"/>
        <v>0</v>
      </c>
      <c r="AT42" s="5">
        <f t="shared" si="8"/>
        <v>0</v>
      </c>
      <c r="AU42" s="5">
        <f t="shared" si="9"/>
        <v>0</v>
      </c>
      <c r="AV42" s="5">
        <f t="shared" si="10"/>
        <v>0</v>
      </c>
      <c r="AW42" s="5">
        <f t="shared" si="12"/>
        <v>0</v>
      </c>
      <c r="AX42" s="5">
        <f t="shared" si="13"/>
        <v>7</v>
      </c>
    </row>
    <row r="43" spans="1:50" ht="15" customHeight="1" x14ac:dyDescent="0.35">
      <c r="A43" s="10">
        <v>41</v>
      </c>
      <c r="B43" s="18">
        <v>907416</v>
      </c>
      <c r="C43" s="21" t="s">
        <v>67</v>
      </c>
      <c r="D43" s="13" t="s">
        <v>21</v>
      </c>
      <c r="E43" s="13" t="s">
        <v>68</v>
      </c>
      <c r="F43" s="14" t="s">
        <v>9</v>
      </c>
      <c r="G43" s="14" t="s">
        <v>10</v>
      </c>
      <c r="H43" s="14" t="s">
        <v>10</v>
      </c>
      <c r="I43" s="14"/>
      <c r="J43" s="14" t="s">
        <v>10</v>
      </c>
      <c r="K43" s="14" t="s">
        <v>10</v>
      </c>
      <c r="L43" s="14" t="s">
        <v>15</v>
      </c>
      <c r="M43" s="14" t="s">
        <v>10</v>
      </c>
      <c r="N43" s="14" t="s">
        <v>9</v>
      </c>
      <c r="O43" s="14"/>
      <c r="P43" s="14"/>
      <c r="Q43" s="14" t="s">
        <v>11</v>
      </c>
      <c r="R43" s="14" t="s">
        <v>10</v>
      </c>
      <c r="S43" s="14"/>
      <c r="T43" s="14" t="s">
        <v>15</v>
      </c>
      <c r="U43" s="14" t="s">
        <v>9</v>
      </c>
      <c r="V43" s="14"/>
      <c r="W43" s="14"/>
      <c r="X43" s="14" t="s">
        <v>16</v>
      </c>
      <c r="Y43" s="14" t="s">
        <v>10</v>
      </c>
      <c r="Z43" s="14" t="s">
        <v>9</v>
      </c>
      <c r="AA43" s="14" t="s">
        <v>12</v>
      </c>
      <c r="AB43" s="14" t="s">
        <v>11</v>
      </c>
      <c r="AC43" s="14" t="s">
        <v>11</v>
      </c>
      <c r="AD43" s="14"/>
      <c r="AE43" s="14" t="s">
        <v>10</v>
      </c>
      <c r="AF43" s="14" t="s">
        <v>9</v>
      </c>
      <c r="AG43" s="14"/>
      <c r="AH43" s="14" t="s">
        <v>11</v>
      </c>
      <c r="AI43" s="14"/>
      <c r="AJ43" s="14"/>
      <c r="AK43" s="15">
        <f t="shared" si="11"/>
        <v>24</v>
      </c>
      <c r="AL43" s="4">
        <f t="shared" si="0"/>
        <v>21</v>
      </c>
      <c r="AM43" s="5">
        <f t="shared" si="1"/>
        <v>5</v>
      </c>
      <c r="AN43" s="5">
        <f t="shared" si="2"/>
        <v>8</v>
      </c>
      <c r="AO43" s="5">
        <f t="shared" si="3"/>
        <v>4</v>
      </c>
      <c r="AP43" s="5">
        <f t="shared" si="4"/>
        <v>1</v>
      </c>
      <c r="AQ43" s="5">
        <f t="shared" si="5"/>
        <v>0</v>
      </c>
      <c r="AR43" s="5">
        <f t="shared" si="6"/>
        <v>0</v>
      </c>
      <c r="AS43" s="5">
        <f t="shared" si="7"/>
        <v>4</v>
      </c>
      <c r="AT43" s="5">
        <f t="shared" si="8"/>
        <v>2</v>
      </c>
      <c r="AU43" s="5">
        <f t="shared" si="9"/>
        <v>0</v>
      </c>
      <c r="AV43" s="5">
        <f t="shared" si="10"/>
        <v>0</v>
      </c>
      <c r="AW43" s="5">
        <f t="shared" si="12"/>
        <v>0</v>
      </c>
      <c r="AX43" s="5">
        <f t="shared" si="13"/>
        <v>18</v>
      </c>
    </row>
    <row r="44" spans="1:50" ht="15" customHeight="1" x14ac:dyDescent="0.35">
      <c r="A44" s="10">
        <v>42</v>
      </c>
      <c r="B44" s="20">
        <v>907434</v>
      </c>
      <c r="C44" s="21" t="s">
        <v>69</v>
      </c>
      <c r="D44" s="13" t="s">
        <v>21</v>
      </c>
      <c r="E44" s="26" t="s">
        <v>24</v>
      </c>
      <c r="F44" s="14"/>
      <c r="G44" s="14" t="s">
        <v>15</v>
      </c>
      <c r="H44" s="14" t="s">
        <v>9</v>
      </c>
      <c r="I44" s="14"/>
      <c r="J44" s="14" t="s">
        <v>11</v>
      </c>
      <c r="K44" s="14" t="s">
        <v>11</v>
      </c>
      <c r="L44" s="14" t="s">
        <v>11</v>
      </c>
      <c r="M44" s="14"/>
      <c r="N44" s="14" t="s">
        <v>14</v>
      </c>
      <c r="O44" s="14"/>
      <c r="P44" s="14" t="s">
        <v>9</v>
      </c>
      <c r="Q44" s="14"/>
      <c r="R44" s="14" t="s">
        <v>11</v>
      </c>
      <c r="S44" s="14" t="s">
        <v>11</v>
      </c>
      <c r="T44" s="14"/>
      <c r="U44" s="14" t="s">
        <v>10</v>
      </c>
      <c r="V44" s="14" t="s">
        <v>9</v>
      </c>
      <c r="W44" s="14" t="s">
        <v>9</v>
      </c>
      <c r="X44" s="14" t="s">
        <v>9</v>
      </c>
      <c r="Y44" s="14" t="s">
        <v>9</v>
      </c>
      <c r="Z44" s="14" t="s">
        <v>9</v>
      </c>
      <c r="AA44" s="14"/>
      <c r="AB44" s="14"/>
      <c r="AC44" s="14" t="s">
        <v>11</v>
      </c>
      <c r="AD44" s="14" t="s">
        <v>11</v>
      </c>
      <c r="AE44" s="14" t="s">
        <v>11</v>
      </c>
      <c r="AF44" s="14" t="s">
        <v>11</v>
      </c>
      <c r="AG44" s="14" t="s">
        <v>11</v>
      </c>
      <c r="AH44" s="14"/>
      <c r="AI44" s="14"/>
      <c r="AJ44" s="14"/>
      <c r="AK44" s="15">
        <f t="shared" si="11"/>
        <v>21.5</v>
      </c>
      <c r="AL44" s="4">
        <f t="shared" si="0"/>
        <v>20</v>
      </c>
      <c r="AM44" s="5">
        <f t="shared" si="1"/>
        <v>7</v>
      </c>
      <c r="AN44" s="5">
        <f t="shared" si="2"/>
        <v>1</v>
      </c>
      <c r="AO44" s="5">
        <f t="shared" si="3"/>
        <v>10</v>
      </c>
      <c r="AP44" s="5">
        <f t="shared" si="4"/>
        <v>0</v>
      </c>
      <c r="AQ44" s="5">
        <f t="shared" si="5"/>
        <v>0</v>
      </c>
      <c r="AR44" s="5">
        <f t="shared" si="6"/>
        <v>1.5</v>
      </c>
      <c r="AS44" s="5">
        <f t="shared" si="7"/>
        <v>2</v>
      </c>
      <c r="AT44" s="5">
        <f t="shared" si="8"/>
        <v>0</v>
      </c>
      <c r="AU44" s="5">
        <f t="shared" si="9"/>
        <v>0</v>
      </c>
      <c r="AV44" s="5">
        <f t="shared" si="10"/>
        <v>0</v>
      </c>
      <c r="AW44" s="5">
        <f t="shared" si="12"/>
        <v>0</v>
      </c>
      <c r="AX44" s="5">
        <f t="shared" si="13"/>
        <v>18</v>
      </c>
    </row>
    <row r="45" spans="1:50" x14ac:dyDescent="0.35">
      <c r="B45" s="27"/>
      <c r="AJ45">
        <f>SUM(AJ3:AJ44)</f>
        <v>0</v>
      </c>
      <c r="AK45">
        <f>SUM(AK3:AK44)</f>
        <v>1201.5</v>
      </c>
      <c r="AL45" s="31">
        <f>SUM(AL3:AL44)</f>
        <v>866</v>
      </c>
    </row>
    <row r="46" spans="1:50" x14ac:dyDescent="0.35">
      <c r="B46" s="27"/>
    </row>
    <row r="47" spans="1:50" x14ac:dyDescent="0.35">
      <c r="B47" s="27"/>
    </row>
  </sheetData>
  <mergeCells count="1">
    <mergeCell ref="A1:AK1"/>
  </mergeCells>
  <conditionalFormatting sqref="B1 A1:A44">
    <cfRule type="duplicateValues" dxfId="29" priority="30"/>
  </conditionalFormatting>
  <conditionalFormatting sqref="B2">
    <cfRule type="duplicateValues" dxfId="28" priority="28"/>
  </conditionalFormatting>
  <conditionalFormatting sqref="B3:B5">
    <cfRule type="duplicateValues" dxfId="27" priority="23"/>
  </conditionalFormatting>
  <conditionalFormatting sqref="B6:B8">
    <cfRule type="duplicateValues" dxfId="26" priority="22"/>
  </conditionalFormatting>
  <conditionalFormatting sqref="B14">
    <cfRule type="duplicateValues" dxfId="25" priority="6"/>
    <cfRule type="duplicateValues" dxfId="24" priority="7"/>
    <cfRule type="duplicateValues" dxfId="23" priority="8"/>
    <cfRule type="duplicateValues" dxfId="22" priority="9"/>
    <cfRule type="duplicateValues" dxfId="21" priority="10"/>
  </conditionalFormatting>
  <conditionalFormatting sqref="B21">
    <cfRule type="duplicateValues" dxfId="20" priority="15"/>
  </conditionalFormatting>
  <conditionalFormatting sqref="B22:B23 B43 B38:B40 B3:B13 B15:B20">
    <cfRule type="duplicateValues" dxfId="19" priority="20"/>
  </conditionalFormatting>
  <conditionalFormatting sqref="B25">
    <cfRule type="duplicateValues" dxfId="18" priority="16"/>
    <cfRule type="duplicateValues" dxfId="17" priority="17"/>
    <cfRule type="duplicateValues" dxfId="16" priority="18"/>
  </conditionalFormatting>
  <conditionalFormatting sqref="B28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</conditionalFormatting>
  <conditionalFormatting sqref="B31">
    <cfRule type="duplicateValues" dxfId="10" priority="11"/>
    <cfRule type="duplicateValues" dxfId="9" priority="12"/>
    <cfRule type="duplicateValues" dxfId="8" priority="13"/>
  </conditionalFormatting>
  <conditionalFormatting sqref="B32:B44 B3:B13 B15:B27 B29:B30">
    <cfRule type="duplicateValues" dxfId="7" priority="24"/>
  </conditionalFormatting>
  <conditionalFormatting sqref="B39 B3:B13 B15:B20">
    <cfRule type="duplicateValues" dxfId="6" priority="21"/>
  </conditionalFormatting>
  <conditionalFormatting sqref="B43">
    <cfRule type="duplicateValues" dxfId="5" priority="19"/>
  </conditionalFormatting>
  <conditionalFormatting sqref="B45:B47">
    <cfRule type="duplicateValues" dxfId="4" priority="29"/>
  </conditionalFormatting>
  <conditionalFormatting sqref="B45:B1048576 B1:B2">
    <cfRule type="duplicateValues" dxfId="3" priority="25"/>
  </conditionalFormatting>
  <conditionalFormatting sqref="B48:B1048576 B1:B2">
    <cfRule type="duplicateValues" dxfId="2" priority="26"/>
  </conditionalFormatting>
  <conditionalFormatting sqref="B21:C21">
    <cfRule type="duplicateValues" dxfId="1" priority="14"/>
  </conditionalFormatting>
  <conditionalFormatting sqref="AK1:AK1048576">
    <cfRule type="cellIs" dxfId="0" priority="27" operator="greaterThan">
      <formula>35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7333-C762-416F-B559-292C57F4853D}">
  <dimension ref="A1:M29"/>
  <sheetViews>
    <sheetView workbookViewId="0">
      <selection sqref="A1:XFD1048576"/>
    </sheetView>
  </sheetViews>
  <sheetFormatPr defaultColWidth="10" defaultRowHeight="14.5" x14ac:dyDescent="0.35"/>
  <cols>
    <col min="1" max="1" width="49.36328125" style="5" bestFit="1" customWidth="1"/>
    <col min="2" max="5" width="13.7265625" style="5" customWidth="1"/>
    <col min="6" max="6" width="10.1796875" style="5" customWidth="1"/>
    <col min="7" max="7" width="10.453125" style="5" customWidth="1"/>
    <col min="8" max="8" width="10.7265625" style="5" customWidth="1"/>
    <col min="9" max="12" width="10" style="5"/>
    <col min="13" max="13" width="11.453125" style="5" customWidth="1"/>
    <col min="14" max="16384" width="10" style="5"/>
  </cols>
  <sheetData>
    <row r="1" spans="1:13" ht="15.5" x14ac:dyDescent="0.35">
      <c r="A1" s="32" t="s">
        <v>70</v>
      </c>
      <c r="B1" s="33" t="s">
        <v>71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s="37" customFormat="1" ht="40" x14ac:dyDescent="0.3">
      <c r="A2" s="35" t="s">
        <v>72</v>
      </c>
      <c r="B2" s="36" t="s">
        <v>73</v>
      </c>
      <c r="C2" s="36" t="s">
        <v>74</v>
      </c>
      <c r="D2" s="36" t="s">
        <v>75</v>
      </c>
      <c r="E2" s="36" t="s">
        <v>76</v>
      </c>
      <c r="F2" s="36" t="s">
        <v>77</v>
      </c>
      <c r="G2" s="36" t="s">
        <v>78</v>
      </c>
      <c r="H2" s="36" t="s">
        <v>79</v>
      </c>
      <c r="I2" s="36" t="s">
        <v>80</v>
      </c>
      <c r="J2" s="36" t="s">
        <v>81</v>
      </c>
      <c r="K2" s="36" t="s">
        <v>82</v>
      </c>
      <c r="L2" s="36" t="s">
        <v>83</v>
      </c>
      <c r="M2" s="36" t="s">
        <v>84</v>
      </c>
    </row>
    <row r="3" spans="1:13" s="42" customFormat="1" ht="16" x14ac:dyDescent="0.35">
      <c r="A3" s="38" t="s">
        <v>85</v>
      </c>
      <c r="B3" s="39">
        <v>5822</v>
      </c>
      <c r="C3" s="40">
        <v>8322</v>
      </c>
      <c r="D3" s="40">
        <v>8322</v>
      </c>
      <c r="E3" s="40">
        <v>8322</v>
      </c>
      <c r="F3" s="41">
        <v>6822</v>
      </c>
      <c r="G3" s="41">
        <v>6822</v>
      </c>
      <c r="H3" s="41">
        <v>8322</v>
      </c>
      <c r="I3" s="41">
        <v>8322</v>
      </c>
      <c r="J3" s="41">
        <v>6822</v>
      </c>
      <c r="K3" s="41">
        <v>8322</v>
      </c>
      <c r="L3" s="41">
        <v>8322</v>
      </c>
      <c r="M3" s="41">
        <v>8322</v>
      </c>
    </row>
    <row r="4" spans="1:13" s="42" customFormat="1" ht="16" x14ac:dyDescent="0.35">
      <c r="A4" s="43" t="s">
        <v>86</v>
      </c>
      <c r="B4" s="40">
        <v>7117</v>
      </c>
      <c r="C4" s="40">
        <v>10182</v>
      </c>
      <c r="D4" s="40">
        <v>10182</v>
      </c>
      <c r="E4" s="40">
        <v>10182</v>
      </c>
      <c r="F4" s="41">
        <v>8364</v>
      </c>
      <c r="G4" s="41">
        <v>8364</v>
      </c>
      <c r="H4" s="41">
        <v>10182</v>
      </c>
      <c r="I4" s="41">
        <v>10182</v>
      </c>
      <c r="J4" s="41">
        <v>8364</v>
      </c>
      <c r="K4" s="41">
        <v>10182</v>
      </c>
      <c r="L4" s="41">
        <v>10182</v>
      </c>
      <c r="M4" s="41">
        <v>10182</v>
      </c>
    </row>
    <row r="5" spans="1:13" s="42" customFormat="1" ht="16" x14ac:dyDescent="0.35">
      <c r="A5" s="38" t="s">
        <v>87</v>
      </c>
      <c r="B5" s="39">
        <v>0</v>
      </c>
      <c r="C5" s="40">
        <v>0</v>
      </c>
      <c r="D5" s="39">
        <v>0</v>
      </c>
      <c r="E5" s="39">
        <v>0</v>
      </c>
      <c r="F5" s="41">
        <v>0</v>
      </c>
      <c r="G5" s="41">
        <v>0</v>
      </c>
      <c r="H5" s="41">
        <v>0</v>
      </c>
      <c r="I5" s="41">
        <v>0</v>
      </c>
      <c r="J5" s="41">
        <v>0</v>
      </c>
      <c r="K5" s="41">
        <v>0</v>
      </c>
      <c r="L5" s="41">
        <v>0</v>
      </c>
      <c r="M5" s="41">
        <v>0</v>
      </c>
    </row>
    <row r="6" spans="1:13" s="42" customFormat="1" ht="16" x14ac:dyDescent="0.35">
      <c r="A6" s="38" t="s">
        <v>88</v>
      </c>
      <c r="B6" s="39">
        <v>0</v>
      </c>
      <c r="C6" s="40">
        <v>2630</v>
      </c>
      <c r="D6" s="44">
        <v>3581</v>
      </c>
      <c r="E6" s="44">
        <v>6580</v>
      </c>
      <c r="F6" s="41">
        <v>0</v>
      </c>
      <c r="G6" s="41">
        <v>2900</v>
      </c>
      <c r="H6" s="41">
        <v>0</v>
      </c>
      <c r="I6" s="41">
        <v>1600</v>
      </c>
      <c r="J6" s="41">
        <v>1000</v>
      </c>
      <c r="K6" s="41">
        <v>0</v>
      </c>
      <c r="L6" s="41">
        <v>1600</v>
      </c>
      <c r="M6" s="41">
        <v>2400</v>
      </c>
    </row>
    <row r="7" spans="1:13" s="42" customFormat="1" ht="15.5" x14ac:dyDescent="0.35">
      <c r="A7" s="45" t="s">
        <v>89</v>
      </c>
      <c r="B7" s="46">
        <f>SUM(B3:B6)</f>
        <v>12939</v>
      </c>
      <c r="C7" s="46">
        <f>SUM(C3:C6)</f>
        <v>21134</v>
      </c>
      <c r="D7" s="46">
        <f>SUM(D3:D6)</f>
        <v>22085</v>
      </c>
      <c r="E7" s="46">
        <f>SUM(E3:E6)</f>
        <v>25084</v>
      </c>
      <c r="F7" s="46">
        <f t="shared" ref="F7:M7" si="0">SUM(F3:F6)</f>
        <v>15186</v>
      </c>
      <c r="G7" s="46">
        <f t="shared" si="0"/>
        <v>18086</v>
      </c>
      <c r="H7" s="46">
        <f t="shared" si="0"/>
        <v>18504</v>
      </c>
      <c r="I7" s="46">
        <f t="shared" si="0"/>
        <v>20104</v>
      </c>
      <c r="J7" s="46">
        <f t="shared" si="0"/>
        <v>16186</v>
      </c>
      <c r="K7" s="46">
        <f t="shared" si="0"/>
        <v>18504</v>
      </c>
      <c r="L7" s="46">
        <f t="shared" si="0"/>
        <v>20104</v>
      </c>
      <c r="M7" s="46">
        <f t="shared" si="0"/>
        <v>20904</v>
      </c>
    </row>
    <row r="8" spans="1:13" s="42" customFormat="1" ht="16" x14ac:dyDescent="0.35">
      <c r="A8" s="38" t="s">
        <v>90</v>
      </c>
      <c r="B8" s="47">
        <f>IF((B3+B4)&lt;15000,(B3+B4)*13%,15000*13%)</f>
        <v>1682.0700000000002</v>
      </c>
      <c r="C8" s="47">
        <f>SUM(C3:C4)*13%</f>
        <v>2405.52</v>
      </c>
      <c r="D8" s="47">
        <f t="shared" ref="D8:M8" si="1">SUM(D3:D4)*13%</f>
        <v>2405.52</v>
      </c>
      <c r="E8" s="47">
        <f t="shared" si="1"/>
        <v>2405.52</v>
      </c>
      <c r="F8" s="47">
        <f t="shared" si="1"/>
        <v>1974.18</v>
      </c>
      <c r="G8" s="47">
        <f t="shared" si="1"/>
        <v>1974.18</v>
      </c>
      <c r="H8" s="47">
        <f t="shared" si="1"/>
        <v>2405.52</v>
      </c>
      <c r="I8" s="47">
        <f t="shared" si="1"/>
        <v>2405.52</v>
      </c>
      <c r="J8" s="47">
        <f t="shared" si="1"/>
        <v>1974.18</v>
      </c>
      <c r="K8" s="47">
        <f t="shared" si="1"/>
        <v>2405.52</v>
      </c>
      <c r="L8" s="47">
        <f t="shared" si="1"/>
        <v>2405.52</v>
      </c>
      <c r="M8" s="47">
        <f t="shared" si="1"/>
        <v>2405.52</v>
      </c>
    </row>
    <row r="9" spans="1:13" s="42" customFormat="1" ht="16" x14ac:dyDescent="0.35">
      <c r="A9" s="38" t="s">
        <v>91</v>
      </c>
      <c r="B9" s="47">
        <f>(B7+B10+B11)*3.25%</f>
        <v>475.76379525000004</v>
      </c>
      <c r="C9" s="47">
        <f>SUM(C7+C11+C10)*3.25%</f>
        <v>769.97182899999996</v>
      </c>
      <c r="D9" s="47">
        <f>SUM(D7+D11+D10)*3.25%</f>
        <v>802.36526650000008</v>
      </c>
      <c r="E9" s="47">
        <f>SUM(E7+E11+E10)*3.25%</f>
        <v>904.51870400000007</v>
      </c>
      <c r="F9" s="47">
        <f t="shared" ref="F9:M9" si="2">SUM(F7+F11+F10)*3.25%</f>
        <v>558.3854235</v>
      </c>
      <c r="G9" s="47">
        <f t="shared" si="2"/>
        <v>657.1666735</v>
      </c>
      <c r="H9" s="47">
        <f t="shared" si="2"/>
        <v>680.38745399999993</v>
      </c>
      <c r="I9" s="47">
        <f t="shared" si="2"/>
        <v>734.88745400000005</v>
      </c>
      <c r="J9" s="47">
        <f t="shared" si="2"/>
        <v>592.44792350000012</v>
      </c>
      <c r="K9" s="47">
        <f t="shared" si="2"/>
        <v>680.38745399999993</v>
      </c>
      <c r="L9" s="47">
        <f t="shared" si="2"/>
        <v>734.88745400000005</v>
      </c>
      <c r="M9" s="47">
        <f t="shared" si="2"/>
        <v>762.13745400000005</v>
      </c>
    </row>
    <row r="10" spans="1:13" s="42" customFormat="1" ht="16" x14ac:dyDescent="0.35">
      <c r="A10" s="38" t="s">
        <v>92</v>
      </c>
      <c r="B10" s="47">
        <f>(B3+B4)*8.33%</f>
        <v>1077.8187</v>
      </c>
      <c r="C10" s="47">
        <f>(C3+C4)*8.33%</f>
        <v>1541.3832</v>
      </c>
      <c r="D10" s="47">
        <f>(D3+D4)*8.33%</f>
        <v>1541.3832</v>
      </c>
      <c r="E10" s="47">
        <f>(E3+E4)*8.33%</f>
        <v>1541.3832</v>
      </c>
      <c r="F10" s="47">
        <f t="shared" ref="F10:M10" si="3">(F3+F4)*8.33%</f>
        <v>1264.9938</v>
      </c>
      <c r="G10" s="47">
        <f t="shared" si="3"/>
        <v>1264.9938</v>
      </c>
      <c r="H10" s="47">
        <f t="shared" si="3"/>
        <v>1541.3832</v>
      </c>
      <c r="I10" s="47">
        <f t="shared" si="3"/>
        <v>1541.3832</v>
      </c>
      <c r="J10" s="47">
        <f t="shared" si="3"/>
        <v>1264.9938</v>
      </c>
      <c r="K10" s="47">
        <f t="shared" si="3"/>
        <v>1541.3832</v>
      </c>
      <c r="L10" s="47">
        <f t="shared" si="3"/>
        <v>1541.3832</v>
      </c>
      <c r="M10" s="47">
        <f t="shared" si="3"/>
        <v>1541.3832</v>
      </c>
    </row>
    <row r="11" spans="1:13" s="42" customFormat="1" ht="16" x14ac:dyDescent="0.35">
      <c r="A11" s="38" t="s">
        <v>93</v>
      </c>
      <c r="B11" s="48">
        <f>B7/26*1.25</f>
        <v>622.06730769230762</v>
      </c>
      <c r="C11" s="48">
        <f>C7/26*1.25</f>
        <v>1016.0576923076923</v>
      </c>
      <c r="D11" s="48">
        <f t="shared" ref="D11:M11" si="4">D7/26*1.25</f>
        <v>1061.7788461538462</v>
      </c>
      <c r="E11" s="48">
        <f t="shared" si="4"/>
        <v>1205.9615384615383</v>
      </c>
      <c r="F11" s="48">
        <f t="shared" si="4"/>
        <v>730.09615384615381</v>
      </c>
      <c r="G11" s="48">
        <f t="shared" si="4"/>
        <v>869.51923076923083</v>
      </c>
      <c r="H11" s="48">
        <f t="shared" si="4"/>
        <v>889.61538461538464</v>
      </c>
      <c r="I11" s="48">
        <f t="shared" si="4"/>
        <v>966.53846153846166</v>
      </c>
      <c r="J11" s="48">
        <f t="shared" si="4"/>
        <v>778.17307692307691</v>
      </c>
      <c r="K11" s="48">
        <f t="shared" si="4"/>
        <v>889.61538461538464</v>
      </c>
      <c r="L11" s="48">
        <f t="shared" si="4"/>
        <v>966.53846153846166</v>
      </c>
      <c r="M11" s="48">
        <f t="shared" si="4"/>
        <v>1005</v>
      </c>
    </row>
    <row r="12" spans="1:13" s="42" customFormat="1" ht="16" x14ac:dyDescent="0.35">
      <c r="A12" s="38" t="s">
        <v>94</v>
      </c>
      <c r="B12" s="47">
        <v>200</v>
      </c>
      <c r="C12" s="47">
        <v>200</v>
      </c>
      <c r="D12" s="47">
        <v>200</v>
      </c>
      <c r="E12" s="47">
        <v>200</v>
      </c>
      <c r="F12" s="47">
        <v>200</v>
      </c>
      <c r="G12" s="47">
        <v>200</v>
      </c>
      <c r="H12" s="47">
        <v>200</v>
      </c>
      <c r="I12" s="47">
        <v>200</v>
      </c>
      <c r="J12" s="47">
        <v>200</v>
      </c>
      <c r="K12" s="47">
        <v>200</v>
      </c>
      <c r="L12" s="47">
        <v>200</v>
      </c>
      <c r="M12" s="47">
        <v>200</v>
      </c>
    </row>
    <row r="13" spans="1:13" s="42" customFormat="1" ht="15.5" x14ac:dyDescent="0.35">
      <c r="A13" s="45" t="s">
        <v>95</v>
      </c>
      <c r="B13" s="46">
        <f>SUM(B8:B12)</f>
        <v>4057.719802942308</v>
      </c>
      <c r="C13" s="46">
        <f>SUM(C8:C12)</f>
        <v>5932.9327213076922</v>
      </c>
      <c r="D13" s="46">
        <f>SUM(D8:D12)</f>
        <v>6011.0473126538454</v>
      </c>
      <c r="E13" s="46">
        <f>SUM(E8:E12)</f>
        <v>6257.3834424615379</v>
      </c>
      <c r="F13" s="46">
        <f>SUM(F8:F12)</f>
        <v>4727.6553773461546</v>
      </c>
      <c r="G13" s="46">
        <f t="shared" ref="G13:M13" si="5">SUM(G8:G12)</f>
        <v>4965.8597042692309</v>
      </c>
      <c r="H13" s="46">
        <f t="shared" si="5"/>
        <v>5716.9060386153851</v>
      </c>
      <c r="I13" s="46">
        <f t="shared" si="5"/>
        <v>5848.3291155384622</v>
      </c>
      <c r="J13" s="46">
        <f t="shared" si="5"/>
        <v>4809.7948004230775</v>
      </c>
      <c r="K13" s="46">
        <f t="shared" si="5"/>
        <v>5716.9060386153851</v>
      </c>
      <c r="L13" s="46">
        <f t="shared" si="5"/>
        <v>5848.3291155384622</v>
      </c>
      <c r="M13" s="46">
        <f t="shared" si="5"/>
        <v>5914.0406540000004</v>
      </c>
    </row>
    <row r="14" spans="1:13" s="42" customFormat="1" ht="16" x14ac:dyDescent="0.35">
      <c r="A14" s="38" t="s">
        <v>96</v>
      </c>
      <c r="B14" s="48">
        <f>+B7+B13</f>
        <v>16996.719802942309</v>
      </c>
      <c r="C14" s="48">
        <f>+C7+C13</f>
        <v>27066.93272130769</v>
      </c>
      <c r="D14" s="48">
        <f>+D7+D13</f>
        <v>28096.047312653845</v>
      </c>
      <c r="E14" s="48">
        <f>+E7+E13</f>
        <v>31341.383442461538</v>
      </c>
      <c r="F14" s="48">
        <f t="shared" ref="F14:M14" si="6">+F7+F13</f>
        <v>19913.655377346156</v>
      </c>
      <c r="G14" s="48">
        <f t="shared" si="6"/>
        <v>23051.859704269231</v>
      </c>
      <c r="H14" s="48">
        <f t="shared" si="6"/>
        <v>24220.906038615387</v>
      </c>
      <c r="I14" s="48">
        <f t="shared" si="6"/>
        <v>25952.329115538461</v>
      </c>
      <c r="J14" s="48">
        <f t="shared" si="6"/>
        <v>20995.794800423078</v>
      </c>
      <c r="K14" s="48">
        <f t="shared" si="6"/>
        <v>24220.906038615387</v>
      </c>
      <c r="L14" s="48">
        <f t="shared" si="6"/>
        <v>25952.329115538461</v>
      </c>
      <c r="M14" s="48">
        <f t="shared" si="6"/>
        <v>26818.040654</v>
      </c>
    </row>
    <row r="15" spans="1:13" s="42" customFormat="1" ht="16" x14ac:dyDescent="0.35">
      <c r="A15" s="49" t="s">
        <v>97</v>
      </c>
      <c r="B15" s="50">
        <f>B14*5%</f>
        <v>849.83599014711547</v>
      </c>
      <c r="C15" s="50">
        <f t="shared" ref="C15:M15" si="7">C14*5%</f>
        <v>1353.3466360653847</v>
      </c>
      <c r="D15" s="50">
        <f t="shared" si="7"/>
        <v>1404.8023656326923</v>
      </c>
      <c r="E15" s="50">
        <f t="shared" si="7"/>
        <v>1567.0691721230769</v>
      </c>
      <c r="F15" s="50">
        <f t="shared" si="7"/>
        <v>995.68276886730791</v>
      </c>
      <c r="G15" s="50">
        <f t="shared" si="7"/>
        <v>1152.5929852134616</v>
      </c>
      <c r="H15" s="50">
        <f t="shared" si="7"/>
        <v>1211.0453019307695</v>
      </c>
      <c r="I15" s="50">
        <f t="shared" si="7"/>
        <v>1297.6164557769232</v>
      </c>
      <c r="J15" s="50">
        <f t="shared" si="7"/>
        <v>1049.7897400211539</v>
      </c>
      <c r="K15" s="50">
        <f t="shared" si="7"/>
        <v>1211.0453019307695</v>
      </c>
      <c r="L15" s="50">
        <f t="shared" si="7"/>
        <v>1297.6164557769232</v>
      </c>
      <c r="M15" s="50">
        <f t="shared" si="7"/>
        <v>1340.9020327000001</v>
      </c>
    </row>
    <row r="16" spans="1:13" s="42" customFormat="1" ht="16" x14ac:dyDescent="0.35">
      <c r="A16" s="38" t="s">
        <v>98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  <row r="17" spans="1:13" s="42" customFormat="1" ht="15.5" x14ac:dyDescent="0.35">
      <c r="A17" s="45" t="s">
        <v>99</v>
      </c>
      <c r="B17" s="46">
        <f>SUM(B14:B15)+B16</f>
        <v>17846.555793089425</v>
      </c>
      <c r="C17" s="46">
        <f>SUM(C14:C15)+C16</f>
        <v>28420.279357373074</v>
      </c>
      <c r="D17" s="46">
        <f>SUM(D14:D15)+D16</f>
        <v>29500.849678286537</v>
      </c>
      <c r="E17" s="46">
        <f>SUM(E14:E15)+E16</f>
        <v>32908.452614584618</v>
      </c>
      <c r="F17" s="46">
        <f t="shared" ref="F17:M17" si="8">SUM(F14:F15)+F16</f>
        <v>20909.338146213464</v>
      </c>
      <c r="G17" s="46">
        <f t="shared" si="8"/>
        <v>24204.452689482692</v>
      </c>
      <c r="H17" s="46">
        <f t="shared" si="8"/>
        <v>25431.951340546155</v>
      </c>
      <c r="I17" s="46">
        <f t="shared" si="8"/>
        <v>27249.945571315384</v>
      </c>
      <c r="J17" s="46">
        <f t="shared" si="8"/>
        <v>22045.584540444233</v>
      </c>
      <c r="K17" s="46">
        <f t="shared" si="8"/>
        <v>25431.951340546155</v>
      </c>
      <c r="L17" s="46">
        <f t="shared" si="8"/>
        <v>27249.945571315384</v>
      </c>
      <c r="M17" s="46">
        <f t="shared" si="8"/>
        <v>28158.9426867</v>
      </c>
    </row>
    <row r="18" spans="1:13" x14ac:dyDescent="0.25">
      <c r="A18" s="51"/>
      <c r="B18" s="51"/>
      <c r="C18" s="51"/>
      <c r="D18" s="51"/>
      <c r="E18" s="51"/>
    </row>
    <row r="19" spans="1:13" s="53" customFormat="1" ht="13" hidden="1" x14ac:dyDescent="0.3">
      <c r="A19" s="52" t="s">
        <v>100</v>
      </c>
      <c r="B19" s="52">
        <f>(B3+B4)*12%</f>
        <v>1552.6799999999998</v>
      </c>
      <c r="C19" s="52">
        <f>(C3+C4)*12%</f>
        <v>2220.48</v>
      </c>
      <c r="D19" s="52">
        <f>(D3+D4)*12%</f>
        <v>2220.48</v>
      </c>
      <c r="E19" s="52">
        <f>(E3+E4)*12%</f>
        <v>2220.48</v>
      </c>
    </row>
    <row r="20" spans="1:13" s="53" customFormat="1" ht="13" hidden="1" x14ac:dyDescent="0.3">
      <c r="A20" s="52" t="s">
        <v>101</v>
      </c>
      <c r="B20" s="52">
        <f>SUM(B7+B11+B10)*0.75%</f>
        <v>109.79164505769231</v>
      </c>
      <c r="C20" s="52">
        <f>SUM(C7+C11+C10)*0.75%</f>
        <v>177.68580669230769</v>
      </c>
      <c r="D20" s="52">
        <f>SUM(D7+D11+D10)*0.75%</f>
        <v>185.16121534615385</v>
      </c>
      <c r="E20" s="52">
        <f>SUM(E7+E11+E10)*0.75%</f>
        <v>208.73508553846153</v>
      </c>
    </row>
    <row r="21" spans="1:13" s="53" customFormat="1" ht="13" hidden="1" x14ac:dyDescent="0.3">
      <c r="A21" s="52" t="s">
        <v>102</v>
      </c>
      <c r="B21" s="52">
        <f>B7-B19-B20+B10+B11</f>
        <v>12976.414362634616</v>
      </c>
      <c r="C21" s="52">
        <f>C7-C19-C20+C10+C11</f>
        <v>21293.275085615383</v>
      </c>
      <c r="D21" s="52">
        <f>D7-D19-D20+D10+D11</f>
        <v>22282.520830807694</v>
      </c>
      <c r="E21" s="52">
        <f>E7-E19-E20+E10+E11</f>
        <v>25402.129652923079</v>
      </c>
    </row>
    <row r="22" spans="1:13" hidden="1" x14ac:dyDescent="0.25">
      <c r="A22" s="51"/>
      <c r="B22" s="51"/>
      <c r="C22" s="51"/>
      <c r="D22" s="51"/>
      <c r="E22" s="51"/>
    </row>
    <row r="23" spans="1:13" s="42" customFormat="1" ht="16" x14ac:dyDescent="0.35">
      <c r="A23" s="54" t="s">
        <v>103</v>
      </c>
      <c r="B23" s="54">
        <f>B7+B10+B11</f>
        <v>14638.886007692308</v>
      </c>
      <c r="C23" s="54">
        <f t="shared" ref="C23:M23" si="9">C7+C10+C11</f>
        <v>23691.440892307692</v>
      </c>
      <c r="D23" s="54">
        <f t="shared" si="9"/>
        <v>24688.162046153848</v>
      </c>
      <c r="E23" s="54">
        <f t="shared" si="9"/>
        <v>27831.344738461539</v>
      </c>
      <c r="F23" s="54">
        <f t="shared" si="9"/>
        <v>17181.089953846153</v>
      </c>
      <c r="G23" s="54">
        <f t="shared" si="9"/>
        <v>20220.513030769231</v>
      </c>
      <c r="H23" s="54">
        <f t="shared" si="9"/>
        <v>20934.998584615383</v>
      </c>
      <c r="I23" s="54">
        <f t="shared" si="9"/>
        <v>22611.921661538461</v>
      </c>
      <c r="J23" s="54">
        <f t="shared" si="9"/>
        <v>18229.166876923078</v>
      </c>
      <c r="K23" s="54">
        <f t="shared" si="9"/>
        <v>20934.998584615383</v>
      </c>
      <c r="L23" s="54">
        <f t="shared" si="9"/>
        <v>22611.921661538461</v>
      </c>
      <c r="M23" s="54">
        <f t="shared" si="9"/>
        <v>23450.3832</v>
      </c>
    </row>
    <row r="24" spans="1:13" s="42" customFormat="1" ht="16" x14ac:dyDescent="0.35">
      <c r="A24" s="55" t="s">
        <v>104</v>
      </c>
      <c r="B24" s="55">
        <f>IF((B3+B4)&lt;15000,(B3+B4)*12%,15000*12%)</f>
        <v>1552.6799999999998</v>
      </c>
      <c r="C24" s="55">
        <f t="shared" ref="C24:M24" si="10">IF((C3+C4)&lt;15000,(C3+C4)*12%,15000*12%)</f>
        <v>1800</v>
      </c>
      <c r="D24" s="55">
        <f t="shared" si="10"/>
        <v>1800</v>
      </c>
      <c r="E24" s="55">
        <f t="shared" si="10"/>
        <v>1800</v>
      </c>
      <c r="F24" s="55">
        <f t="shared" si="10"/>
        <v>1800</v>
      </c>
      <c r="G24" s="55">
        <f t="shared" si="10"/>
        <v>1800</v>
      </c>
      <c r="H24" s="55">
        <f t="shared" si="10"/>
        <v>1800</v>
      </c>
      <c r="I24" s="55">
        <f t="shared" si="10"/>
        <v>1800</v>
      </c>
      <c r="J24" s="55">
        <f t="shared" si="10"/>
        <v>1800</v>
      </c>
      <c r="K24" s="55">
        <f t="shared" si="10"/>
        <v>1800</v>
      </c>
      <c r="L24" s="55">
        <f t="shared" si="10"/>
        <v>1800</v>
      </c>
      <c r="M24" s="55">
        <f t="shared" si="10"/>
        <v>1800</v>
      </c>
    </row>
    <row r="25" spans="1:13" s="42" customFormat="1" ht="16" x14ac:dyDescent="0.35">
      <c r="A25" s="55" t="s">
        <v>105</v>
      </c>
      <c r="B25" s="55">
        <f>B23*0.75%</f>
        <v>109.79164505769231</v>
      </c>
      <c r="C25" s="55">
        <f t="shared" ref="C25:M25" si="11">C23*0.75%</f>
        <v>177.68580669230769</v>
      </c>
      <c r="D25" s="55">
        <f t="shared" si="11"/>
        <v>185.16121534615385</v>
      </c>
      <c r="E25" s="55">
        <f t="shared" si="11"/>
        <v>208.73508553846153</v>
      </c>
      <c r="F25" s="55">
        <f t="shared" si="11"/>
        <v>128.85817465384613</v>
      </c>
      <c r="G25" s="55">
        <f t="shared" si="11"/>
        <v>151.65384773076923</v>
      </c>
      <c r="H25" s="55">
        <f t="shared" si="11"/>
        <v>157.01248938461538</v>
      </c>
      <c r="I25" s="55">
        <f t="shared" si="11"/>
        <v>169.58941246153844</v>
      </c>
      <c r="J25" s="55">
        <f t="shared" si="11"/>
        <v>136.71875157692307</v>
      </c>
      <c r="K25" s="55">
        <f t="shared" si="11"/>
        <v>157.01248938461538</v>
      </c>
      <c r="L25" s="55">
        <f t="shared" si="11"/>
        <v>169.58941246153844</v>
      </c>
      <c r="M25" s="55">
        <f t="shared" si="11"/>
        <v>175.87787399999999</v>
      </c>
    </row>
    <row r="26" spans="1:13" s="42" customFormat="1" ht="16" x14ac:dyDescent="0.35">
      <c r="A26" s="55" t="s">
        <v>106</v>
      </c>
      <c r="B26" s="55">
        <v>0</v>
      </c>
      <c r="C26" s="55">
        <v>200</v>
      </c>
      <c r="D26" s="55">
        <v>200</v>
      </c>
      <c r="E26" s="55">
        <v>200</v>
      </c>
      <c r="F26" s="41">
        <v>150</v>
      </c>
      <c r="G26" s="41">
        <v>200</v>
      </c>
      <c r="H26" s="41">
        <v>200</v>
      </c>
      <c r="I26" s="41">
        <v>200</v>
      </c>
      <c r="J26" s="41">
        <v>150</v>
      </c>
      <c r="K26" s="41">
        <v>150</v>
      </c>
      <c r="L26" s="41">
        <v>200</v>
      </c>
      <c r="M26" s="41">
        <v>200</v>
      </c>
    </row>
    <row r="27" spans="1:13" s="42" customFormat="1" ht="15.5" x14ac:dyDescent="0.35">
      <c r="A27" s="56" t="s">
        <v>107</v>
      </c>
      <c r="B27" s="56">
        <f>B23-B24-B25-B26</f>
        <v>12976.414362634616</v>
      </c>
      <c r="C27" s="56">
        <f>C23-C24-C25-C26</f>
        <v>21513.755085615383</v>
      </c>
      <c r="D27" s="56">
        <f>D23-D24-D25-D26</f>
        <v>22503.000830807694</v>
      </c>
      <c r="E27" s="56">
        <f>E23-E24-E25-E26</f>
        <v>25622.609652923078</v>
      </c>
      <c r="F27" s="56">
        <f t="shared" ref="F27:M27" si="12">F23-F24-F25-F26</f>
        <v>15102.231779192307</v>
      </c>
      <c r="G27" s="56">
        <f t="shared" si="12"/>
        <v>18068.859183038461</v>
      </c>
      <c r="H27" s="56">
        <f t="shared" si="12"/>
        <v>18777.986095230768</v>
      </c>
      <c r="I27" s="56">
        <f t="shared" si="12"/>
        <v>20442.332249076924</v>
      </c>
      <c r="J27" s="56">
        <f t="shared" si="12"/>
        <v>16142.448125346154</v>
      </c>
      <c r="K27" s="56">
        <f t="shared" si="12"/>
        <v>18827.986095230768</v>
      </c>
      <c r="L27" s="56">
        <f t="shared" si="12"/>
        <v>20442.332249076924</v>
      </c>
      <c r="M27" s="56">
        <f t="shared" si="12"/>
        <v>21274.505325999999</v>
      </c>
    </row>
    <row r="29" spans="1:13" ht="21.5" thickBot="1" x14ac:dyDescent="0.55000000000000004">
      <c r="A29" s="57" t="s">
        <v>108</v>
      </c>
      <c r="B29" s="58">
        <f>B27/26</f>
        <v>499.09286010133138</v>
      </c>
      <c r="C29" s="58">
        <f t="shared" ref="C29:M29" si="13">C27/26</f>
        <v>827.4521186775147</v>
      </c>
      <c r="D29" s="58">
        <f t="shared" si="13"/>
        <v>865.50003195414206</v>
      </c>
      <c r="E29" s="58">
        <f t="shared" si="13"/>
        <v>985.48498665088766</v>
      </c>
      <c r="F29" s="58">
        <f t="shared" si="13"/>
        <v>580.85506843047335</v>
      </c>
      <c r="G29" s="58">
        <f t="shared" si="13"/>
        <v>694.95612242455616</v>
      </c>
      <c r="H29" s="58">
        <f t="shared" si="13"/>
        <v>722.23023443195257</v>
      </c>
      <c r="I29" s="58">
        <f t="shared" si="13"/>
        <v>786.24354804142013</v>
      </c>
      <c r="J29" s="58">
        <f t="shared" si="13"/>
        <v>620.86338943639055</v>
      </c>
      <c r="K29" s="58">
        <f t="shared" si="13"/>
        <v>724.15331135502959</v>
      </c>
      <c r="L29" s="58">
        <f t="shared" si="13"/>
        <v>786.24354804142013</v>
      </c>
      <c r="M29" s="58">
        <f t="shared" si="13"/>
        <v>818.25020484615379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 Attendence</vt:lpstr>
      <vt:lpstr>Salary 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</dc:creator>
  <cp:lastModifiedBy>Ramkumar</cp:lastModifiedBy>
  <dcterms:created xsi:type="dcterms:W3CDTF">2025-10-29T05:39:00Z</dcterms:created>
  <dcterms:modified xsi:type="dcterms:W3CDTF">2025-10-29T05:40:19Z</dcterms:modified>
</cp:coreProperties>
</file>